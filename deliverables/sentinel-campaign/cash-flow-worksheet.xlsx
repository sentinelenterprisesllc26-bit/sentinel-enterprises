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aily Inputs" sheetId="2" r:id="rId2"/>
    <sheet name="Activity Ledger" sheetId="3" r:id="rId3"/>
    <sheet name="Cash Ledger" sheetId="4" r:id="rId4"/>
    <sheet name="Scenario" sheetId="5" r:id="rId5"/>
    <sheet name="Weekly Review" sheetId="6" r:id="rId6"/>
    <sheet name="Glossary" sheetId="7" r:id="rId7"/>
  </sheets>
  <definedNames>
    <definedName name="_xlnm._FilterDatabase" localSheetId="2" hidden="1">'Activity Ledger'!$A$5:$O$19</definedName>
    <definedName name="_xlnm._FilterDatabase" localSheetId="3" hidden="1">'Cash Ledger'!$A$5:$H$19</definedName>
    <definedName name="_xlnm.Print_Titles" localSheetId="1">'Daily Inputs'!$5:$5</definedName>
  </definedNames>
  <calcPr calcId="124519" fullCalcOnLoad="1"/>
</workbook>
</file>

<file path=xl/sharedStrings.xml><?xml version="1.0" encoding="utf-8"?>
<sst xmlns="http://schemas.openxmlformats.org/spreadsheetml/2006/main" count="197" uniqueCount="137">
  <si>
    <t>Sentinel cash-flow worksheet</t>
  </si>
  <si>
    <t>Enter only known actuals on Daily Inputs. Blank cells mean unknown—not zero. Formula cells stay blank when required inputs are incomplete.</t>
  </si>
  <si>
    <t>How to use</t>
  </si>
  <si>
    <t>1. Record source-backed daily activity and cash movements in Daily Inputs.</t>
  </si>
  <si>
    <t>2. Review Activity Ledger for operating net sales estimate and measured rates.</t>
  </si>
  <si>
    <t>3. Review Cash Ledger for NET CASH RECEIVED after cash-paid costs. Processor payouts are bank actuals.</t>
  </si>
  <si>
    <t>4. Use Scenario only for the labelled $100/day planning illustration; it is not actual performance.</t>
  </si>
  <si>
    <t>5. Review GA4 events in Weekly Review. Never infer purchases from pageviews.</t>
  </si>
  <si>
    <t>Live ledger summary</t>
  </si>
  <si>
    <t>Paid orders recorded</t>
  </si>
  <si>
    <t>Gross product sales recorded</t>
  </si>
  <si>
    <t>Operating net sales estimate</t>
  </si>
  <si>
    <t>NET CASH RECEIVED after cash-paid costs</t>
  </si>
  <si>
    <t>Daily input completeness</t>
  </si>
  <si>
    <t>Completion is based on all 15 Daily Inputs fields.</t>
  </si>
  <si>
    <t>Important accounting boundary</t>
  </si>
  <si>
    <t>Activity Ledger is a recorded-activity view, not a profit statement. Cash Ledger is cash basis: actual processor payouts + affiliate cash paid − refunds paid separately (only when NOT already netted in the payout) − advertising cash paid − other cash expenses paid. If a refund is already netted in the processor payout, enter 0 in Refunds paid separately and do not deduct it again. Do not subtract processor fees or activity/accrual expenses in Cash Ledger.</t>
  </si>
  <si>
    <t>Input colors</t>
  </si>
  <si>
    <t>Yellow cells</t>
  </si>
  <si>
    <t>User-entered assumption or actual input</t>
  </si>
  <si>
    <t>Blue/gray cells</t>
  </si>
  <si>
    <t>Formula or recorded total; do not overwrite</t>
  </si>
  <si>
    <t>Daily inputs — 14-day campaign window</t>
  </si>
  <si>
    <t>Source actuals only. Keep unknowns blank. If you know that a category had no activity, enter 0; do not use blanks to imply zero. Activity expenses and cash-paid expenses are separate fields.</t>
  </si>
  <si>
    <t>Date</t>
  </si>
  <si>
    <t>Website visitors</t>
  </si>
  <si>
    <t>Checkout clicks</t>
  </si>
  <si>
    <t>Actual paid orders (sales records)</t>
  </si>
  <si>
    <t>Actual gross product sales excl. sales taxes</t>
  </si>
  <si>
    <t>Earned affiliate commissions</t>
  </si>
  <si>
    <t>Affiliate cash paid</t>
  </si>
  <si>
    <t>Refunds issued / recorded</t>
  </si>
  <si>
    <t>Processor fees recorded</t>
  </si>
  <si>
    <t>Advertising expenses recorded (activity)</t>
  </si>
  <si>
    <t>Other expenses recorded (activity)</t>
  </si>
  <si>
    <t>Advertising cash paid</t>
  </si>
  <si>
    <t>Other cash expenses paid</t>
  </si>
  <si>
    <t>Actual processor payouts</t>
  </si>
  <si>
    <t>Refunds paid separately (NOT deducted from payout)</t>
  </si>
  <si>
    <t>Field guidance</t>
  </si>
  <si>
    <t>Actual paid orders</t>
  </si>
  <si>
    <t>Sales records only. Do not substitute checkout clicks or pageviews.</t>
  </si>
  <si>
    <t>Actual gross product sales</t>
  </si>
  <si>
    <t>Recorded product sales excluding sales taxes; do not estimate from clicks.</t>
  </si>
  <si>
    <t>Earned affiliate commissions vs affiliate cash paid</t>
  </si>
  <si>
    <t>Earned is activity/accrual; cash paid is the money actually received. They are intentionally separate.</t>
  </si>
  <si>
    <t>Advertising / other expenses</t>
  </si>
  <si>
    <t>Activity fields are recorded/accrual view only; cash-paid fields are the actual cash basis inputs used by Cash Ledger.</t>
  </si>
  <si>
    <t>Bank/processor payout actually received. It may already be net of fees and refunds.</t>
  </si>
  <si>
    <t>Cash refund paid outside the processor payout. Enter 0 when the payout already nets the refund; never enter the same refund in both the payout and this field.</t>
  </si>
  <si>
    <t>Activity Ledger — recorded activity view</t>
  </si>
  <si>
    <t>Operating net sales estimate = gross product sales + earned affiliate commissions − refunds issued. Activity expenses are recorded/accrual view inputs; this ledger is not a profit statement. Rates appear only with present, positive denominators. Totals are recorded totals and are flagged when partial.</t>
  </si>
  <si>
    <t>Gross product sales excl. sales taxes</t>
  </si>
  <si>
    <t>AOV</t>
  </si>
  <si>
    <t>Checkout → paid-order rate</t>
  </si>
  <si>
    <t>Recorded activity contribution estimate (not profit)</t>
  </si>
  <si>
    <t>Completeness</t>
  </si>
  <si>
    <t>Recorded totals / rates</t>
  </si>
  <si>
    <t>Cash Ledger — actual cash view</t>
  </si>
  <si>
    <t>NET CASH RECEIVED after cash-paid costs = actual processor payouts + affiliate cash paid − refunds paid separately (only when NOT already netted in the payout) − advertising cash paid − other cash expenses paid. Enter 0 for refunds paid separately when the payout already nets the refund. Processor fees and activity/accrual expenses are not deducted here.</t>
  </si>
  <si>
    <t>Completeness / cash boundary</t>
  </si>
  <si>
    <t>Recorded totals</t>
  </si>
  <si>
    <t>Illustrative $100/day offer scenario</t>
  </si>
  <si>
    <t>Planning illustration only — not actual results and not linked to the Daily Inputs, Activity Ledger, or Cash Ledger.</t>
  </si>
  <si>
    <t>Illustrative assumption / output</t>
  </si>
  <si>
    <t>Value</t>
  </si>
  <si>
    <t>Type</t>
  </si>
  <si>
    <t>Interpretation</t>
  </si>
  <si>
    <t>Target gross sales per day</t>
  </si>
  <si>
    <t>Planning input</t>
  </si>
  <si>
    <t>Illustrative target only; not an observed sales result.</t>
  </si>
  <si>
    <t>Illustrative price per order</t>
  </si>
  <si>
    <t>Offer price supplied for the scenario; not a recorded transaction price.</t>
  </si>
  <si>
    <t>Orders required to reach target</t>
  </si>
  <si>
    <t>Formula</t>
  </si>
  <si>
    <t>CEILING is used so the target is met or exceeded.</t>
  </si>
  <si>
    <t>Illustrative gross at whole-order count</t>
  </si>
  <si>
    <t>Illustrative 6 × $17.99 = $107.94 before taxes, refunds, fees, or expenses.</t>
  </si>
  <si>
    <t>Optional checkout → paid-order conversion rate assumption</t>
  </si>
  <si>
    <t>Optional input</t>
  </si>
  <si>
    <t>Leave blank unless a measured, channel-specific assumption is intentionally used.</t>
  </si>
  <si>
    <t>Illustrative checkout clicks required at optional checkout → paid-order rate</t>
  </si>
  <si>
    <t>Blank until the optional rate is entered; this is checkout clicks required, not a website visitor count or actual result.</t>
  </si>
  <si>
    <t>Guardrail</t>
  </si>
  <si>
    <t>Do not use this scenario to backfill actual orders, checkout clicks, visitors, conversion, revenue, or cash. The optional rate yields checkout clicks required only; it does not estimate website visitors. Actual paid orders come from sales records; purchases are not attributed from pageviews.</t>
  </si>
  <si>
    <t>Weekly review — measurement and reconciliation</t>
  </si>
  <si>
    <t>Use source systems to reconcile the worksheet. GA4 events measure intent/leads; they do not replace sales records and pageviews are not purchase attribution.</t>
  </si>
  <si>
    <t>Review item</t>
  </si>
  <si>
    <t>Source / GA4 event</t>
  </si>
  <si>
    <t>Weekly check</t>
  </si>
  <si>
    <t>Entered result / variance</t>
  </si>
  <si>
    <t>Owner</t>
  </si>
  <si>
    <t>Notes</t>
  </si>
  <si>
    <t>Checkout intent</t>
  </si>
  <si>
    <t>GA4: product_checkout_click</t>
  </si>
  <si>
    <t>Reconcile event count to Daily Inputs checkout clicks; inspect tracking gaps.</t>
  </si>
  <si>
    <t>Lead intent</t>
  </si>
  <si>
    <t>GA4: lead_form_success</t>
  </si>
  <si>
    <t>Review successful lead submissions separately from checkout activity.</t>
  </si>
  <si>
    <t>Paid orders</t>
  </si>
  <si>
    <t>Sales records</t>
  </si>
  <si>
    <t>Reconcile paid order count to Actual paid orders; never infer from pageviews.</t>
  </si>
  <si>
    <t>Gross product sales</t>
  </si>
  <si>
    <t>Sales records / accounting</t>
  </si>
  <si>
    <t>Reconcile product sales excluding sales taxes to the recorded sales report.</t>
  </si>
  <si>
    <t>Processor payouts</t>
  </si>
  <si>
    <t>Bank / processor statement</t>
  </si>
  <si>
    <t>Reconcile Actual processor payouts; document payout timing and netting.</t>
  </si>
  <si>
    <t>Affiliate cash</t>
  </si>
  <si>
    <t>Affiliate network statement</t>
  </si>
  <si>
    <t>Reconcile cash paid separately from earned affiliate commissions.</t>
  </si>
  <si>
    <t>Refunds paid separately</t>
  </si>
  <si>
    <t>Reconcile cash refunds paid outside processor payouts; enter 0 when the payout already nets the refund.</t>
  </si>
  <si>
    <t>Attribution rule</t>
  </si>
  <si>
    <t>Use product_checkout_click for checkout intent and lead_form_success for successful lead submissions. Neither event is a paid order. Pageviews can indicate reach only; do not attribute purchases from pageviews.</t>
  </si>
  <si>
    <t>Glossary and formula boundaries</t>
  </si>
  <si>
    <t>Definitions keep recorded activity, accrual-like measures, and bank cash from being mixed.</t>
  </si>
  <si>
    <t>Term</t>
  </si>
  <si>
    <t>Definition / boundary</t>
  </si>
  <si>
    <t>Order count from sales records. Checkout clicks and pageviews are not orders.</t>
  </si>
  <si>
    <t>Recorded product sales excluding sales taxes. Do not estimate from clicks.</t>
  </si>
  <si>
    <t>Commission recognized/earned according to the affiliate source; separate from cash timing.</t>
  </si>
  <si>
    <t>Affiliate cash actually received during the day or period.</t>
  </si>
  <si>
    <t>Refund activity recorded in the operating system; distinct from actual cash paid.</t>
  </si>
  <si>
    <t>Fees recorded as activity/expense; not subtracted in Cash Ledger when processor payouts are already net.</t>
  </si>
  <si>
    <t>Gross product sales + earned affiliate commissions − refunds issued. Requires all three inputs.</t>
  </si>
  <si>
    <t>Cash actually received from the payment processor/bank. Treat as net cash movement from the statement.</t>
  </si>
  <si>
    <t>Activity fields are recorded/accrual view inputs. Cash-paid fields are the actual cash basis inputs used by Cash Ledger.</t>
  </si>
  <si>
    <t>Cash refund paid outside the processor payout. Enter 0 when the payout already nets the refund; never enter the same refund in both places.</t>
  </si>
  <si>
    <t>Actual processor payouts + affiliate cash paid − refunds paid separately − advertising cash paid − other cash expenses paid. Do not subtract processor fees or activity/accrual expenses; refunds already netted in payouts must be 0 here.</t>
  </si>
  <si>
    <t>Gross product sales divided by actual paid orders; shown only with both inputs and orders &gt; 0.</t>
  </si>
  <si>
    <t>Actual paid orders divided by checkout clicks; shown only with both inputs and clicks &gt; 0.</t>
  </si>
  <si>
    <t>A warning based on entered numeric fields. Recorded totals can be partial and must not be read as complete-period totals.</t>
  </si>
  <si>
    <t>GA4 product_checkout_click</t>
  </si>
  <si>
    <t>Weekly review event for checkout intent; not a purchase.</t>
  </si>
  <si>
    <t>GA4 lead_form_success</t>
  </si>
  <si>
    <t>Weekly review event for successful lead submissions; not a purchase.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</si>
</sst>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$#,##0.00;[Red]-$#,##0.00"/>
    <numFmt numFmtId="166" formatCode="yyyy-mm-dd"/>
    <numFmt numFmtId="167" formatCode="0.0%"/>
    <numFmt numFmtId="168" formatCode="#,##0.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243B53"/>
      <name val="Calibri"/>
      <family val="2"/>
      <scheme val="minor"/>
    </font>
    <font>
      <b/>
      <sz val="11"/>
      <color rgb="FF102A4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2606D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4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5A85"/>
        <bgColor indexed="64"/>
      </patternFill>
    </fill>
    <fill>
      <patternFill patternType="solid">
        <fgColor rgb="FFE2F0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/>
    <xf numFmtId="0" fontId="2" fillId="0" borderId="0" xfId="0" applyFont="1" applyAlignment="1">
      <alignment vertical="top" wrapText="1"/>
    </xf>
    <xf numFmtId="0" fontId="4" fillId="5" borderId="2" xfId="0" applyFont="1" applyFill="1" applyBorder="1"/>
    <xf numFmtId="164" fontId="4" fillId="5" borderId="2" xfId="0" applyNumberFormat="1" applyFont="1" applyFill="1" applyBorder="1"/>
    <xf numFmtId="165" fontId="4" fillId="5" borderId="2" xfId="0" applyNumberFormat="1" applyFont="1" applyFill="1" applyBorder="1"/>
    <xf numFmtId="0" fontId="2" fillId="5" borderId="1" xfId="0" applyFont="1" applyFill="1" applyBorder="1" applyAlignment="1">
      <alignment wrapText="1"/>
    </xf>
    <xf numFmtId="0" fontId="5" fillId="0" borderId="0" xfId="0" applyFont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7" fillId="7" borderId="1" xfId="0" applyFont="1" applyFill="1" applyBorder="1"/>
    <xf numFmtId="0" fontId="2" fillId="0" borderId="1" xfId="0" applyFont="1" applyBorder="1"/>
    <xf numFmtId="166" fontId="7" fillId="7" borderId="1" xfId="0" applyNumberFormat="1" applyFont="1" applyFill="1" applyBorder="1"/>
    <xf numFmtId="164" fontId="7" fillId="7" borderId="1" xfId="0" applyNumberFormat="1" applyFont="1" applyFill="1" applyBorder="1"/>
    <xf numFmtId="165" fontId="7" fillId="7" borderId="1" xfId="0" applyNumberFormat="1" applyFont="1" applyFill="1" applyBorder="1"/>
    <xf numFmtId="0" fontId="8" fillId="8" borderId="1" xfId="0" applyFont="1" applyFill="1" applyBorder="1" applyAlignment="1">
      <alignment vertical="center" wrapText="1"/>
    </xf>
    <xf numFmtId="166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7" fontId="2" fillId="0" borderId="1" xfId="0" applyNumberFormat="1" applyFont="1" applyBorder="1"/>
    <xf numFmtId="167" fontId="4" fillId="5" borderId="2" xfId="0" applyNumberFormat="1" applyFont="1" applyFill="1" applyBorder="1"/>
    <xf numFmtId="164" fontId="9" fillId="9" borderId="1" xfId="0" applyNumberFormat="1" applyFont="1" applyFill="1" applyBorder="1"/>
    <xf numFmtId="165" fontId="9" fillId="9" borderId="1" xfId="0" applyNumberFormat="1" applyFont="1" applyFill="1" applyBorder="1"/>
    <xf numFmtId="167" fontId="7" fillId="7" borderId="1" xfId="0" applyNumberFormat="1" applyFont="1" applyFill="1" applyBorder="1"/>
    <xf numFmtId="168" fontId="9" fillId="9" borderId="1" xfId="0" applyNumberFormat="1" applyFont="1" applyFill="1" applyBorder="1"/>
    <xf numFmtId="0" fontId="7" fillId="7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375623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ilyInputsTable" displayName="DailyInputsTable" ref="A5:O19" totalsRowShown="0">
  <autoFilter ref="A5:O19"/>
  <tableColumns count="15">
    <tableColumn id="1" name="Date"/>
    <tableColumn id="2" name="Website visitors"/>
    <tableColumn id="3" name="Checkout clicks"/>
    <tableColumn id="4" name="Actual paid orders (sales records)"/>
    <tableColumn id="5" name="Actual gross product sales excl. sales taxes"/>
    <tableColumn id="6" name="Earned affiliate commissions"/>
    <tableColumn id="7" name="Affiliate cash paid"/>
    <tableColumn id="8" name="Refunds issued / recorded"/>
    <tableColumn id="9" name="Processor fees recorded"/>
    <tableColumn id="10" name="Advertising expenses recorded (activity)"/>
    <tableColumn id="11" name="Other expenses recorded (activity)"/>
    <tableColumn id="12" name="Advertising cash paid"/>
    <tableColumn id="13" name="Other cash expenses paid"/>
    <tableColumn id="14" name="Actual processor payouts"/>
    <tableColumn id="15" name="Refunds paid separately (NOT deducted from payout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ReviewTable" displayName="WeeklyReviewTable" ref="A5:F12" totalsRowShown="0">
  <autoFilter ref="A5:F12"/>
  <tableColumns count="6">
    <tableColumn id="1" name="Review item"/>
    <tableColumn id="2" name="Source / GA4 event"/>
    <tableColumn id="3" name="Weekly check"/>
    <tableColumn id="4" name="Entered result / variance"/>
    <tableColumn id="5" name="Owner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2.7109375" customWidth="1"/>
    <col min="2" max="2" width="25.7109375" customWidth="1"/>
    <col min="3" max="3" width="18.7109375" customWidth="1"/>
    <col min="4" max="4" width="3.7109375" customWidth="1"/>
    <col min="5" max="7" width="28.7109375" customWidth="1"/>
  </cols>
  <sheetData>
    <row r="1" spans="1:7" ht="28" customHeight="1">
      <c r="A1" s="1" t="s">
        <v>0</v>
      </c>
      <c r="B1" s="1"/>
      <c r="C1" s="1"/>
      <c r="D1" s="1"/>
      <c r="E1" s="1"/>
      <c r="F1" s="1"/>
      <c r="G1" s="1"/>
    </row>
    <row r="2" spans="1:7" ht="35" customHeight="1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</row>
    <row r="5" spans="1:7">
      <c r="A5" s="4" t="s">
        <v>3</v>
      </c>
      <c r="B5" s="4"/>
      <c r="C5" s="4"/>
    </row>
    <row r="6" spans="1:7" ht="24" customHeight="1">
      <c r="A6" s="4" t="s">
        <v>4</v>
      </c>
      <c r="B6" s="4"/>
      <c r="C6" s="4"/>
    </row>
    <row r="7" spans="1:7" ht="24" customHeight="1">
      <c r="A7" s="4" t="s">
        <v>5</v>
      </c>
      <c r="B7" s="4"/>
      <c r="C7" s="4"/>
    </row>
    <row r="8" spans="1:7" ht="30" customHeight="1">
      <c r="A8" s="4" t="s">
        <v>6</v>
      </c>
      <c r="B8" s="4"/>
      <c r="C8" s="4"/>
    </row>
    <row r="9" spans="1:7" ht="24" customHeight="1">
      <c r="A9" s="4" t="s">
        <v>7</v>
      </c>
      <c r="B9" s="4"/>
      <c r="C9" s="4"/>
    </row>
    <row r="10" spans="1:7" ht="24" customHeight="1"/>
    <row r="11" spans="1:7">
      <c r="A11" s="3" t="s">
        <v>8</v>
      </c>
    </row>
    <row r="13" spans="1:7">
      <c r="A13" s="5" t="s">
        <v>9</v>
      </c>
      <c r="B13" s="6">
        <f>'Activity Ledger'!D20</f>
        <v/>
      </c>
    </row>
    <row r="14" spans="1:7">
      <c r="A14" s="5" t="s">
        <v>10</v>
      </c>
      <c r="B14" s="7">
        <f>'Activity Ledger'!E20</f>
        <v/>
      </c>
    </row>
    <row r="15" spans="1:7">
      <c r="A15" s="5" t="s">
        <v>11</v>
      </c>
      <c r="B15" s="7">
        <f>'Activity Ledger'!J20</f>
        <v/>
      </c>
    </row>
    <row r="16" spans="1:7">
      <c r="A16" s="5" t="s">
        <v>12</v>
      </c>
      <c r="B16" s="7">
        <f>'Cash Ledger'!G20</f>
        <v/>
      </c>
    </row>
    <row r="17" spans="1:7">
      <c r="A17" s="5" t="s">
        <v>13</v>
      </c>
      <c r="B17" s="8">
        <f>IF(COUNTIF('Activity Ledger'!O6:O19,"Complete")=14,"Complete — 14/14 days",IF(COUNTIF('Activity Ledger'!O6:O19,"Complete")=0,"No complete days", "Partial — "&amp;COUNTIF('Activity Ledger'!O6:O19,"Complete")&amp;"/14 days complete"))</f>
        <v/>
      </c>
      <c r="C17" s="9" t="s">
        <v>14</v>
      </c>
    </row>
    <row r="19" spans="1:7">
      <c r="A19" s="3" t="s">
        <v>15</v>
      </c>
    </row>
    <row r="20" spans="1:7">
      <c r="A20" s="10" t="s">
        <v>16</v>
      </c>
      <c r="B20" s="10"/>
      <c r="C20" s="10"/>
      <c r="D20" s="10"/>
      <c r="E20" s="10"/>
      <c r="F20" s="10"/>
      <c r="G20" s="10"/>
    </row>
    <row r="21" spans="1:7">
      <c r="A21" s="10"/>
      <c r="B21" s="10"/>
      <c r="C21" s="10"/>
      <c r="D21" s="10"/>
      <c r="E21" s="10"/>
      <c r="F21" s="10"/>
      <c r="G21" s="10"/>
    </row>
    <row r="23" spans="1:7">
      <c r="A23" s="3" t="s">
        <v>17</v>
      </c>
    </row>
    <row r="24" spans="1:7">
      <c r="A24" s="11" t="s">
        <v>18</v>
      </c>
      <c r="B24" s="4" t="s">
        <v>19</v>
      </c>
    </row>
    <row r="25" spans="1:7">
      <c r="A25" s="12" t="s">
        <v>20</v>
      </c>
      <c r="B25" s="4" t="s">
        <v>21</v>
      </c>
    </row>
  </sheetData>
  <mergeCells count="8">
    <mergeCell ref="A1:G1"/>
    <mergeCell ref="A2:G2"/>
    <mergeCell ref="A5:C5"/>
    <mergeCell ref="A6:C6"/>
    <mergeCell ref="A7:C7"/>
    <mergeCell ref="A8:C8"/>
    <mergeCell ref="A9:C9"/>
    <mergeCell ref="A20:G21"/>
  </mergeCells>
  <conditionalFormatting sqref="B17">
    <cfRule type="containsText" dxfId="0" priority="1" operator="containsText" text="Complete">
      <formula>NOT(ISERROR(SEARCH("Complete",B17)))</formula>
    </cfRule>
    <cfRule type="containsText" dxfId="1" priority="2" operator="containsText" text="Partial">
      <formula>NOT(ISERROR(SEARCH("Partial",B17)))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17.7109375" customWidth="1"/>
    <col min="3" max="3" width="16.7109375" customWidth="1"/>
    <col min="4" max="4" width="22.7109375" customWidth="1"/>
    <col min="5" max="5" width="25.7109375" customWidth="1"/>
    <col min="6" max="6" width="22.7109375" customWidth="1"/>
    <col min="7" max="7" width="18.7109375" customWidth="1"/>
    <col min="8" max="9" width="20.7109375" customWidth="1"/>
    <col min="10" max="10" width="26.7109375" customWidth="1"/>
    <col min="11" max="11" width="25.7109375" customWidth="1"/>
    <col min="12" max="12" width="20.7109375" customWidth="1"/>
    <col min="13" max="13" width="22.7109375" customWidth="1"/>
    <col min="14" max="14" width="20.7109375" customWidth="1"/>
    <col min="15" max="15" width="34.7109375" customWidth="1"/>
  </cols>
  <sheetData>
    <row r="1" spans="1:15" ht="28" customHeight="1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spans="1:15" ht="34" customHeight="1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</row>
    <row r="6" spans="1:15">
      <c r="A6" s="13"/>
      <c r="B6" s="14"/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A7" s="13"/>
      <c r="B7" s="14"/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13"/>
      <c r="B8" s="14"/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>
      <c r="A9" s="13"/>
      <c r="B9" s="14"/>
      <c r="C9" s="14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3"/>
      <c r="B10" s="14"/>
      <c r="C10" s="14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13"/>
      <c r="B11" s="14"/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>
      <c r="A12" s="13"/>
      <c r="B12" s="14"/>
      <c r="C12" s="14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>
      <c r="A13" s="13"/>
      <c r="B13" s="14"/>
      <c r="C13" s="14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>
      <c r="A14" s="13"/>
      <c r="B14" s="14"/>
      <c r="C14" s="14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>
      <c r="A15" s="13"/>
      <c r="B15" s="14"/>
      <c r="C15" s="14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>
      <c r="A16" s="13"/>
      <c r="B16" s="14"/>
      <c r="C16" s="14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>
      <c r="A17" s="13"/>
      <c r="B17" s="14"/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>
      <c r="A18" s="13"/>
      <c r="B18" s="14"/>
      <c r="C18" s="14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13"/>
      <c r="B19" s="14"/>
      <c r="C19" s="14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1" spans="1:15">
      <c r="A21" s="3" t="s">
        <v>39</v>
      </c>
    </row>
    <row r="23" spans="1:15" ht="30" customHeight="1">
      <c r="A23" s="4" t="s">
        <v>40</v>
      </c>
      <c r="B23" s="9" t="s">
        <v>41</v>
      </c>
      <c r="C23" s="9"/>
      <c r="D23" s="9"/>
      <c r="E23" s="9"/>
      <c r="F23" s="9"/>
    </row>
    <row r="24" spans="1:15" ht="30" customHeight="1">
      <c r="A24" s="4" t="s">
        <v>42</v>
      </c>
      <c r="B24" s="9" t="s">
        <v>43</v>
      </c>
      <c r="C24" s="9"/>
      <c r="D24" s="9"/>
      <c r="E24" s="9"/>
      <c r="F24" s="9"/>
    </row>
    <row r="25" spans="1:15" ht="30" customHeight="1">
      <c r="A25" s="4" t="s">
        <v>44</v>
      </c>
      <c r="B25" s="9" t="s">
        <v>45</v>
      </c>
      <c r="C25" s="9"/>
      <c r="D25" s="9"/>
      <c r="E25" s="9"/>
      <c r="F25" s="9"/>
    </row>
    <row r="26" spans="1:15" ht="30" customHeight="1">
      <c r="A26" s="4" t="s">
        <v>46</v>
      </c>
      <c r="B26" s="9" t="s">
        <v>47</v>
      </c>
      <c r="C26" s="9"/>
      <c r="D26" s="9"/>
      <c r="E26" s="9"/>
      <c r="F26" s="9"/>
    </row>
    <row r="27" spans="1:15" ht="30" customHeight="1">
      <c r="A27" s="4" t="s">
        <v>37</v>
      </c>
      <c r="B27" s="9" t="s">
        <v>48</v>
      </c>
      <c r="C27" s="9"/>
      <c r="D27" s="9"/>
      <c r="E27" s="9"/>
      <c r="F27" s="9"/>
    </row>
    <row r="28" spans="1:15" ht="30" customHeight="1">
      <c r="A28" s="4" t="s">
        <v>38</v>
      </c>
      <c r="B28" s="9" t="s">
        <v>49</v>
      </c>
      <c r="C28" s="9"/>
      <c r="D28" s="9"/>
      <c r="E28" s="9"/>
      <c r="F28" s="9"/>
    </row>
  </sheetData>
  <mergeCells count="8">
    <mergeCell ref="A1:O1"/>
    <mergeCell ref="A2:O2"/>
    <mergeCell ref="B23:F23"/>
    <mergeCell ref="B24:F24"/>
    <mergeCell ref="B25:F25"/>
    <mergeCell ref="B26:F26"/>
    <mergeCell ref="B27:F27"/>
    <mergeCell ref="B28:F28"/>
  </mergeCells>
  <dataValidations count="3">
    <dataValidation type="date" allowBlank="1" showInputMessage="1" showErrorMessage="1" sqref="A6:A19">
      <formula1>1900-01-01</formula1>
      <formula2>2200-12-31</formula2>
    </dataValidation>
    <dataValidation type="whole" operator="greaterThanOrEqual" allowBlank="1" showInputMessage="1" showErrorMessage="1" sqref="B6:D19">
      <formula1>0</formula1>
    </dataValidation>
    <dataValidation type="decimal" operator="greaterThanOrEqual" allowBlank="1" showInputMessage="1" showErrorMessage="1" sqref="E6:O19">
      <formula1>0</formula1>
    </dataValidation>
  </dataValidations>
  <pageMargins left="0.7" right="0.7" top="0.75" bottom="0.75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5" width="18.7109375" customWidth="1"/>
    <col min="6" max="7" width="19.7109375" customWidth="1"/>
    <col min="8" max="14" width="20.7109375" customWidth="1"/>
    <col min="15" max="15" width="24.7109375" customWidth="1"/>
  </cols>
  <sheetData>
    <row r="1" spans="1:15" ht="28" customHeight="1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spans="1:15" ht="34" customHeight="1">
      <c r="A5" s="16" t="s">
        <v>24</v>
      </c>
      <c r="B5" s="16" t="s">
        <v>25</v>
      </c>
      <c r="C5" s="16" t="s">
        <v>26</v>
      </c>
      <c r="D5" s="16" t="s">
        <v>40</v>
      </c>
      <c r="E5" s="16" t="s">
        <v>52</v>
      </c>
      <c r="F5" s="16" t="s">
        <v>53</v>
      </c>
      <c r="G5" s="16" t="s">
        <v>54</v>
      </c>
      <c r="H5" s="16" t="s">
        <v>29</v>
      </c>
      <c r="I5" s="16" t="s">
        <v>31</v>
      </c>
      <c r="J5" s="16" t="s">
        <v>11</v>
      </c>
      <c r="K5" s="16" t="s">
        <v>32</v>
      </c>
      <c r="L5" s="16" t="s">
        <v>33</v>
      </c>
      <c r="M5" s="16" t="s">
        <v>34</v>
      </c>
      <c r="N5" s="16" t="s">
        <v>55</v>
      </c>
      <c r="O5" s="16" t="s">
        <v>56</v>
      </c>
    </row>
    <row r="6" spans="1:15">
      <c r="A6" s="17">
        <f>IF('Daily Inputs'!A6="","",'Daily Inputs'!A6)</f>
        <v/>
      </c>
      <c r="B6" s="18">
        <f>IF('Daily Inputs'!B6="","",'Daily Inputs'!B6)</f>
        <v/>
      </c>
      <c r="C6" s="18">
        <f>IF('Daily Inputs'!C6="","",'Daily Inputs'!C6)</f>
        <v/>
      </c>
      <c r="D6" s="18">
        <f>IF('Daily Inputs'!D6="","",'Daily Inputs'!D6)</f>
        <v/>
      </c>
      <c r="E6" s="19">
        <f>IF('Daily Inputs'!E6="","",'Daily Inputs'!E6)</f>
        <v/>
      </c>
      <c r="F6" s="19">
        <f>IF(OR(E6="",D6="",D6&lt;=0),"",E6/D6)</f>
        <v/>
      </c>
      <c r="G6" s="20">
        <f>IF(OR(D6="",C6="",C6&lt;=0),"",D6/C6)</f>
        <v/>
      </c>
      <c r="H6" s="19">
        <f>IF('Daily Inputs'!F6="","",'Daily Inputs'!F6)</f>
        <v/>
      </c>
      <c r="I6" s="19">
        <f>IF('Daily Inputs'!H6="","",'Daily Inputs'!H6)</f>
        <v/>
      </c>
      <c r="J6" s="19">
        <f>IF(OR(E6="",H6="",I6=""),"",E6+H6-I6)</f>
        <v/>
      </c>
      <c r="K6" s="19">
        <f>IF('Daily Inputs'!I6="","",'Daily Inputs'!I6)</f>
        <v/>
      </c>
      <c r="L6" s="19">
        <f>IF('Daily Inputs'!J6="","",'Daily Inputs'!J6)</f>
        <v/>
      </c>
      <c r="M6" s="19">
        <f>IF('Daily Inputs'!K6="","",'Daily Inputs'!K6)</f>
        <v/>
      </c>
      <c r="N6" s="19">
        <f>IF(OR(J6="",K6="",L6="",M6=""),"",J6-K6-L6-M6)</f>
        <v/>
      </c>
      <c r="O6" s="8">
        <f>IF(COUNTA('Daily Inputs'!A6:O6)=0,"No entries",IF(COUNTA('Daily Inputs'!A6:O6)=15,"Complete","Partial — "&amp;COUNTA('Daily Inputs'!A6:O6)&amp;" of 15 fields"))</f>
        <v/>
      </c>
    </row>
    <row r="7" spans="1:15">
      <c r="A7" s="17">
        <f>IF('Daily Inputs'!A7="","",'Daily Inputs'!A7)</f>
        <v/>
      </c>
      <c r="B7" s="18">
        <f>IF('Daily Inputs'!B7="","",'Daily Inputs'!B7)</f>
        <v/>
      </c>
      <c r="C7" s="18">
        <f>IF('Daily Inputs'!C7="","",'Daily Inputs'!C7)</f>
        <v/>
      </c>
      <c r="D7" s="18">
        <f>IF('Daily Inputs'!D7="","",'Daily Inputs'!D7)</f>
        <v/>
      </c>
      <c r="E7" s="19">
        <f>IF('Daily Inputs'!E7="","",'Daily Inputs'!E7)</f>
        <v/>
      </c>
      <c r="F7" s="19">
        <f>IF(OR(E7="",D7="",D7&lt;=0),"",E7/D7)</f>
        <v/>
      </c>
      <c r="G7" s="20">
        <f>IF(OR(D7="",C7="",C7&lt;=0),"",D7/C7)</f>
        <v/>
      </c>
      <c r="H7" s="19">
        <f>IF('Daily Inputs'!F7="","",'Daily Inputs'!F7)</f>
        <v/>
      </c>
      <c r="I7" s="19">
        <f>IF('Daily Inputs'!H7="","",'Daily Inputs'!H7)</f>
        <v/>
      </c>
      <c r="J7" s="19">
        <f>IF(OR(E7="",H7="",I7=""),"",E7+H7-I7)</f>
        <v/>
      </c>
      <c r="K7" s="19">
        <f>IF('Daily Inputs'!I7="","",'Daily Inputs'!I7)</f>
        <v/>
      </c>
      <c r="L7" s="19">
        <f>IF('Daily Inputs'!J7="","",'Daily Inputs'!J7)</f>
        <v/>
      </c>
      <c r="M7" s="19">
        <f>IF('Daily Inputs'!K7="","",'Daily Inputs'!K7)</f>
        <v/>
      </c>
      <c r="N7" s="19">
        <f>IF(OR(J7="",K7="",L7="",M7=""),"",J7-K7-L7-M7)</f>
        <v/>
      </c>
      <c r="O7" s="8">
        <f>IF(COUNTA('Daily Inputs'!A7:O7)=0,"No entries",IF(COUNTA('Daily Inputs'!A7:O7)=15,"Complete","Partial — "&amp;COUNTA('Daily Inputs'!A7:O7)&amp;" of 15 fields"))</f>
        <v/>
      </c>
    </row>
    <row r="8" spans="1:15">
      <c r="A8" s="17">
        <f>IF('Daily Inputs'!A8="","",'Daily Inputs'!A8)</f>
        <v/>
      </c>
      <c r="B8" s="18">
        <f>IF('Daily Inputs'!B8="","",'Daily Inputs'!B8)</f>
        <v/>
      </c>
      <c r="C8" s="18">
        <f>IF('Daily Inputs'!C8="","",'Daily Inputs'!C8)</f>
        <v/>
      </c>
      <c r="D8" s="18">
        <f>IF('Daily Inputs'!D8="","",'Daily Inputs'!D8)</f>
        <v/>
      </c>
      <c r="E8" s="19">
        <f>IF('Daily Inputs'!E8="","",'Daily Inputs'!E8)</f>
        <v/>
      </c>
      <c r="F8" s="19">
        <f>IF(OR(E8="",D8="",D8&lt;=0),"",E8/D8)</f>
        <v/>
      </c>
      <c r="G8" s="20">
        <f>IF(OR(D8="",C8="",C8&lt;=0),"",D8/C8)</f>
        <v/>
      </c>
      <c r="H8" s="19">
        <f>IF('Daily Inputs'!F8="","",'Daily Inputs'!F8)</f>
        <v/>
      </c>
      <c r="I8" s="19">
        <f>IF('Daily Inputs'!H8="","",'Daily Inputs'!H8)</f>
        <v/>
      </c>
      <c r="J8" s="19">
        <f>IF(OR(E8="",H8="",I8=""),"",E8+H8-I8)</f>
        <v/>
      </c>
      <c r="K8" s="19">
        <f>IF('Daily Inputs'!I8="","",'Daily Inputs'!I8)</f>
        <v/>
      </c>
      <c r="L8" s="19">
        <f>IF('Daily Inputs'!J8="","",'Daily Inputs'!J8)</f>
        <v/>
      </c>
      <c r="M8" s="19">
        <f>IF('Daily Inputs'!K8="","",'Daily Inputs'!K8)</f>
        <v/>
      </c>
      <c r="N8" s="19">
        <f>IF(OR(J8="",K8="",L8="",M8=""),"",J8-K8-L8-M8)</f>
        <v/>
      </c>
      <c r="O8" s="8">
        <f>IF(COUNTA('Daily Inputs'!A8:O8)=0,"No entries",IF(COUNTA('Daily Inputs'!A8:O8)=15,"Complete","Partial — "&amp;COUNTA('Daily Inputs'!A8:O8)&amp;" of 15 fields"))</f>
        <v/>
      </c>
    </row>
    <row r="9" spans="1:15">
      <c r="A9" s="17">
        <f>IF('Daily Inputs'!A9="","",'Daily Inputs'!A9)</f>
        <v/>
      </c>
      <c r="B9" s="18">
        <f>IF('Daily Inputs'!B9="","",'Daily Inputs'!B9)</f>
        <v/>
      </c>
      <c r="C9" s="18">
        <f>IF('Daily Inputs'!C9="","",'Daily Inputs'!C9)</f>
        <v/>
      </c>
      <c r="D9" s="18">
        <f>IF('Daily Inputs'!D9="","",'Daily Inputs'!D9)</f>
        <v/>
      </c>
      <c r="E9" s="19">
        <f>IF('Daily Inputs'!E9="","",'Daily Inputs'!E9)</f>
        <v/>
      </c>
      <c r="F9" s="19">
        <f>IF(OR(E9="",D9="",D9&lt;=0),"",E9/D9)</f>
        <v/>
      </c>
      <c r="G9" s="20">
        <f>IF(OR(D9="",C9="",C9&lt;=0),"",D9/C9)</f>
        <v/>
      </c>
      <c r="H9" s="19">
        <f>IF('Daily Inputs'!F9="","",'Daily Inputs'!F9)</f>
        <v/>
      </c>
      <c r="I9" s="19">
        <f>IF('Daily Inputs'!H9="","",'Daily Inputs'!H9)</f>
        <v/>
      </c>
      <c r="J9" s="19">
        <f>IF(OR(E9="",H9="",I9=""),"",E9+H9-I9)</f>
        <v/>
      </c>
      <c r="K9" s="19">
        <f>IF('Daily Inputs'!I9="","",'Daily Inputs'!I9)</f>
        <v/>
      </c>
      <c r="L9" s="19">
        <f>IF('Daily Inputs'!J9="","",'Daily Inputs'!J9)</f>
        <v/>
      </c>
      <c r="M9" s="19">
        <f>IF('Daily Inputs'!K9="","",'Daily Inputs'!K9)</f>
        <v/>
      </c>
      <c r="N9" s="19">
        <f>IF(OR(J9="",K9="",L9="",M9=""),"",J9-K9-L9-M9)</f>
        <v/>
      </c>
      <c r="O9" s="8">
        <f>IF(COUNTA('Daily Inputs'!A9:O9)=0,"No entries",IF(COUNTA('Daily Inputs'!A9:O9)=15,"Complete","Partial — "&amp;COUNTA('Daily Inputs'!A9:O9)&amp;" of 15 fields"))</f>
        <v/>
      </c>
    </row>
    <row r="10" spans="1:15">
      <c r="A10" s="17">
        <f>IF('Daily Inputs'!A10="","",'Daily Inputs'!A10)</f>
        <v/>
      </c>
      <c r="B10" s="18">
        <f>IF('Daily Inputs'!B10="","",'Daily Inputs'!B10)</f>
        <v/>
      </c>
      <c r="C10" s="18">
        <f>IF('Daily Inputs'!C10="","",'Daily Inputs'!C10)</f>
        <v/>
      </c>
      <c r="D10" s="18">
        <f>IF('Daily Inputs'!D10="","",'Daily Inputs'!D10)</f>
        <v/>
      </c>
      <c r="E10" s="19">
        <f>IF('Daily Inputs'!E10="","",'Daily Inputs'!E10)</f>
        <v/>
      </c>
      <c r="F10" s="19">
        <f>IF(OR(E10="",D10="",D10&lt;=0),"",E10/D10)</f>
        <v/>
      </c>
      <c r="G10" s="20">
        <f>IF(OR(D10="",C10="",C10&lt;=0),"",D10/C10)</f>
        <v/>
      </c>
      <c r="H10" s="19">
        <f>IF('Daily Inputs'!F10="","",'Daily Inputs'!F10)</f>
        <v/>
      </c>
      <c r="I10" s="19">
        <f>IF('Daily Inputs'!H10="","",'Daily Inputs'!H10)</f>
        <v/>
      </c>
      <c r="J10" s="19">
        <f>IF(OR(E10="",H10="",I10=""),"",E10+H10-I10)</f>
        <v/>
      </c>
      <c r="K10" s="19">
        <f>IF('Daily Inputs'!I10="","",'Daily Inputs'!I10)</f>
        <v/>
      </c>
      <c r="L10" s="19">
        <f>IF('Daily Inputs'!J10="","",'Daily Inputs'!J10)</f>
        <v/>
      </c>
      <c r="M10" s="19">
        <f>IF('Daily Inputs'!K10="","",'Daily Inputs'!K10)</f>
        <v/>
      </c>
      <c r="N10" s="19">
        <f>IF(OR(J10="",K10="",L10="",M10=""),"",J10-K10-L10-M10)</f>
        <v/>
      </c>
      <c r="O10" s="8">
        <f>IF(COUNTA('Daily Inputs'!A10:O10)=0,"No entries",IF(COUNTA('Daily Inputs'!A10:O10)=15,"Complete","Partial — "&amp;COUNTA('Daily Inputs'!A10:O10)&amp;" of 15 fields"))</f>
        <v/>
      </c>
    </row>
    <row r="11" spans="1:15">
      <c r="A11" s="17">
        <f>IF('Daily Inputs'!A11="","",'Daily Inputs'!A11)</f>
        <v/>
      </c>
      <c r="B11" s="18">
        <f>IF('Daily Inputs'!B11="","",'Daily Inputs'!B11)</f>
        <v/>
      </c>
      <c r="C11" s="18">
        <f>IF('Daily Inputs'!C11="","",'Daily Inputs'!C11)</f>
        <v/>
      </c>
      <c r="D11" s="18">
        <f>IF('Daily Inputs'!D11="","",'Daily Inputs'!D11)</f>
        <v/>
      </c>
      <c r="E11" s="19">
        <f>IF('Daily Inputs'!E11="","",'Daily Inputs'!E11)</f>
        <v/>
      </c>
      <c r="F11" s="19">
        <f>IF(OR(E11="",D11="",D11&lt;=0),"",E11/D11)</f>
        <v/>
      </c>
      <c r="G11" s="20">
        <f>IF(OR(D11="",C11="",C11&lt;=0),"",D11/C11)</f>
        <v/>
      </c>
      <c r="H11" s="19">
        <f>IF('Daily Inputs'!F11="","",'Daily Inputs'!F11)</f>
        <v/>
      </c>
      <c r="I11" s="19">
        <f>IF('Daily Inputs'!H11="","",'Daily Inputs'!H11)</f>
        <v/>
      </c>
      <c r="J11" s="19">
        <f>IF(OR(E11="",H11="",I11=""),"",E11+H11-I11)</f>
        <v/>
      </c>
      <c r="K11" s="19">
        <f>IF('Daily Inputs'!I11="","",'Daily Inputs'!I11)</f>
        <v/>
      </c>
      <c r="L11" s="19">
        <f>IF('Daily Inputs'!J11="","",'Daily Inputs'!J11)</f>
        <v/>
      </c>
      <c r="M11" s="19">
        <f>IF('Daily Inputs'!K11="","",'Daily Inputs'!K11)</f>
        <v/>
      </c>
      <c r="N11" s="19">
        <f>IF(OR(J11="",K11="",L11="",M11=""),"",J11-K11-L11-M11)</f>
        <v/>
      </c>
      <c r="O11" s="8">
        <f>IF(COUNTA('Daily Inputs'!A11:O11)=0,"No entries",IF(COUNTA('Daily Inputs'!A11:O11)=15,"Complete","Partial — "&amp;COUNTA('Daily Inputs'!A11:O11)&amp;" of 15 fields"))</f>
        <v/>
      </c>
    </row>
    <row r="12" spans="1:15">
      <c r="A12" s="17">
        <f>IF('Daily Inputs'!A12="","",'Daily Inputs'!A12)</f>
        <v/>
      </c>
      <c r="B12" s="18">
        <f>IF('Daily Inputs'!B12="","",'Daily Inputs'!B12)</f>
        <v/>
      </c>
      <c r="C12" s="18">
        <f>IF('Daily Inputs'!C12="","",'Daily Inputs'!C12)</f>
        <v/>
      </c>
      <c r="D12" s="18">
        <f>IF('Daily Inputs'!D12="","",'Daily Inputs'!D12)</f>
        <v/>
      </c>
      <c r="E12" s="19">
        <f>IF('Daily Inputs'!E12="","",'Daily Inputs'!E12)</f>
        <v/>
      </c>
      <c r="F12" s="19">
        <f>IF(OR(E12="",D12="",D12&lt;=0),"",E12/D12)</f>
        <v/>
      </c>
      <c r="G12" s="20">
        <f>IF(OR(D12="",C12="",C12&lt;=0),"",D12/C12)</f>
        <v/>
      </c>
      <c r="H12" s="19">
        <f>IF('Daily Inputs'!F12="","",'Daily Inputs'!F12)</f>
        <v/>
      </c>
      <c r="I12" s="19">
        <f>IF('Daily Inputs'!H12="","",'Daily Inputs'!H12)</f>
        <v/>
      </c>
      <c r="J12" s="19">
        <f>IF(OR(E12="",H12="",I12=""),"",E12+H12-I12)</f>
        <v/>
      </c>
      <c r="K12" s="19">
        <f>IF('Daily Inputs'!I12="","",'Daily Inputs'!I12)</f>
        <v/>
      </c>
      <c r="L12" s="19">
        <f>IF('Daily Inputs'!J12="","",'Daily Inputs'!J12)</f>
        <v/>
      </c>
      <c r="M12" s="19">
        <f>IF('Daily Inputs'!K12="","",'Daily Inputs'!K12)</f>
        <v/>
      </c>
      <c r="N12" s="19">
        <f>IF(OR(J12="",K12="",L12="",M12=""),"",J12-K12-L12-M12)</f>
        <v/>
      </c>
      <c r="O12" s="8">
        <f>IF(COUNTA('Daily Inputs'!A12:O12)=0,"No entries",IF(COUNTA('Daily Inputs'!A12:O12)=15,"Complete","Partial — "&amp;COUNTA('Daily Inputs'!A12:O12)&amp;" of 15 fields"))</f>
        <v/>
      </c>
    </row>
    <row r="13" spans="1:15">
      <c r="A13" s="17">
        <f>IF('Daily Inputs'!A13="","",'Daily Inputs'!A13)</f>
        <v/>
      </c>
      <c r="B13" s="18">
        <f>IF('Daily Inputs'!B13="","",'Daily Inputs'!B13)</f>
        <v/>
      </c>
      <c r="C13" s="18">
        <f>IF('Daily Inputs'!C13="","",'Daily Inputs'!C13)</f>
        <v/>
      </c>
      <c r="D13" s="18">
        <f>IF('Daily Inputs'!D13="","",'Daily Inputs'!D13)</f>
        <v/>
      </c>
      <c r="E13" s="19">
        <f>IF('Daily Inputs'!E13="","",'Daily Inputs'!E13)</f>
        <v/>
      </c>
      <c r="F13" s="19">
        <f>IF(OR(E13="",D13="",D13&lt;=0),"",E13/D13)</f>
        <v/>
      </c>
      <c r="G13" s="20">
        <f>IF(OR(D13="",C13="",C13&lt;=0),"",D13/C13)</f>
        <v/>
      </c>
      <c r="H13" s="19">
        <f>IF('Daily Inputs'!F13="","",'Daily Inputs'!F13)</f>
        <v/>
      </c>
      <c r="I13" s="19">
        <f>IF('Daily Inputs'!H13="","",'Daily Inputs'!H13)</f>
        <v/>
      </c>
      <c r="J13" s="19">
        <f>IF(OR(E13="",H13="",I13=""),"",E13+H13-I13)</f>
        <v/>
      </c>
      <c r="K13" s="19">
        <f>IF('Daily Inputs'!I13="","",'Daily Inputs'!I13)</f>
        <v/>
      </c>
      <c r="L13" s="19">
        <f>IF('Daily Inputs'!J13="","",'Daily Inputs'!J13)</f>
        <v/>
      </c>
      <c r="M13" s="19">
        <f>IF('Daily Inputs'!K13="","",'Daily Inputs'!K13)</f>
        <v/>
      </c>
      <c r="N13" s="19">
        <f>IF(OR(J13="",K13="",L13="",M13=""),"",J13-K13-L13-M13)</f>
        <v/>
      </c>
      <c r="O13" s="8">
        <f>IF(COUNTA('Daily Inputs'!A13:O13)=0,"No entries",IF(COUNTA('Daily Inputs'!A13:O13)=15,"Complete","Partial — "&amp;COUNTA('Daily Inputs'!A13:O13)&amp;" of 15 fields"))</f>
        <v/>
      </c>
    </row>
    <row r="14" spans="1:15">
      <c r="A14" s="17">
        <f>IF('Daily Inputs'!A14="","",'Daily Inputs'!A14)</f>
        <v/>
      </c>
      <c r="B14" s="18">
        <f>IF('Daily Inputs'!B14="","",'Daily Inputs'!B14)</f>
        <v/>
      </c>
      <c r="C14" s="18">
        <f>IF('Daily Inputs'!C14="","",'Daily Inputs'!C14)</f>
        <v/>
      </c>
      <c r="D14" s="18">
        <f>IF('Daily Inputs'!D14="","",'Daily Inputs'!D14)</f>
        <v/>
      </c>
      <c r="E14" s="19">
        <f>IF('Daily Inputs'!E14="","",'Daily Inputs'!E14)</f>
        <v/>
      </c>
      <c r="F14" s="19">
        <f>IF(OR(E14="",D14="",D14&lt;=0),"",E14/D14)</f>
        <v/>
      </c>
      <c r="G14" s="20">
        <f>IF(OR(D14="",C14="",C14&lt;=0),"",D14/C14)</f>
        <v/>
      </c>
      <c r="H14" s="19">
        <f>IF('Daily Inputs'!F14="","",'Daily Inputs'!F14)</f>
        <v/>
      </c>
      <c r="I14" s="19">
        <f>IF('Daily Inputs'!H14="","",'Daily Inputs'!H14)</f>
        <v/>
      </c>
      <c r="J14" s="19">
        <f>IF(OR(E14="",H14="",I14=""),"",E14+H14-I14)</f>
        <v/>
      </c>
      <c r="K14" s="19">
        <f>IF('Daily Inputs'!I14="","",'Daily Inputs'!I14)</f>
        <v/>
      </c>
      <c r="L14" s="19">
        <f>IF('Daily Inputs'!J14="","",'Daily Inputs'!J14)</f>
        <v/>
      </c>
      <c r="M14" s="19">
        <f>IF('Daily Inputs'!K14="","",'Daily Inputs'!K14)</f>
        <v/>
      </c>
      <c r="N14" s="19">
        <f>IF(OR(J14="",K14="",L14="",M14=""),"",J14-K14-L14-M14)</f>
        <v/>
      </c>
      <c r="O14" s="8">
        <f>IF(COUNTA('Daily Inputs'!A14:O14)=0,"No entries",IF(COUNTA('Daily Inputs'!A14:O14)=15,"Complete","Partial — "&amp;COUNTA('Daily Inputs'!A14:O14)&amp;" of 15 fields"))</f>
        <v/>
      </c>
    </row>
    <row r="15" spans="1:15">
      <c r="A15" s="17">
        <f>IF('Daily Inputs'!A15="","",'Daily Inputs'!A15)</f>
        <v/>
      </c>
      <c r="B15" s="18">
        <f>IF('Daily Inputs'!B15="","",'Daily Inputs'!B15)</f>
        <v/>
      </c>
      <c r="C15" s="18">
        <f>IF('Daily Inputs'!C15="","",'Daily Inputs'!C15)</f>
        <v/>
      </c>
      <c r="D15" s="18">
        <f>IF('Daily Inputs'!D15="","",'Daily Inputs'!D15)</f>
        <v/>
      </c>
      <c r="E15" s="19">
        <f>IF('Daily Inputs'!E15="","",'Daily Inputs'!E15)</f>
        <v/>
      </c>
      <c r="F15" s="19">
        <f>IF(OR(E15="",D15="",D15&lt;=0),"",E15/D15)</f>
        <v/>
      </c>
      <c r="G15" s="20">
        <f>IF(OR(D15="",C15="",C15&lt;=0),"",D15/C15)</f>
        <v/>
      </c>
      <c r="H15" s="19">
        <f>IF('Daily Inputs'!F15="","",'Daily Inputs'!F15)</f>
        <v/>
      </c>
      <c r="I15" s="19">
        <f>IF('Daily Inputs'!H15="","",'Daily Inputs'!H15)</f>
        <v/>
      </c>
      <c r="J15" s="19">
        <f>IF(OR(E15="",H15="",I15=""),"",E15+H15-I15)</f>
        <v/>
      </c>
      <c r="K15" s="19">
        <f>IF('Daily Inputs'!I15="","",'Daily Inputs'!I15)</f>
        <v/>
      </c>
      <c r="L15" s="19">
        <f>IF('Daily Inputs'!J15="","",'Daily Inputs'!J15)</f>
        <v/>
      </c>
      <c r="M15" s="19">
        <f>IF('Daily Inputs'!K15="","",'Daily Inputs'!K15)</f>
        <v/>
      </c>
      <c r="N15" s="19">
        <f>IF(OR(J15="",K15="",L15="",M15=""),"",J15-K15-L15-M15)</f>
        <v/>
      </c>
      <c r="O15" s="8">
        <f>IF(COUNTA('Daily Inputs'!A15:O15)=0,"No entries",IF(COUNTA('Daily Inputs'!A15:O15)=15,"Complete","Partial — "&amp;COUNTA('Daily Inputs'!A15:O15)&amp;" of 15 fields"))</f>
        <v/>
      </c>
    </row>
    <row r="16" spans="1:15">
      <c r="A16" s="17">
        <f>IF('Daily Inputs'!A16="","",'Daily Inputs'!A16)</f>
        <v/>
      </c>
      <c r="B16" s="18">
        <f>IF('Daily Inputs'!B16="","",'Daily Inputs'!B16)</f>
        <v/>
      </c>
      <c r="C16" s="18">
        <f>IF('Daily Inputs'!C16="","",'Daily Inputs'!C16)</f>
        <v/>
      </c>
      <c r="D16" s="18">
        <f>IF('Daily Inputs'!D16="","",'Daily Inputs'!D16)</f>
        <v/>
      </c>
      <c r="E16" s="19">
        <f>IF('Daily Inputs'!E16="","",'Daily Inputs'!E16)</f>
        <v/>
      </c>
      <c r="F16" s="19">
        <f>IF(OR(E16="",D16="",D16&lt;=0),"",E16/D16)</f>
        <v/>
      </c>
      <c r="G16" s="20">
        <f>IF(OR(D16="",C16="",C16&lt;=0),"",D16/C16)</f>
        <v/>
      </c>
      <c r="H16" s="19">
        <f>IF('Daily Inputs'!F16="","",'Daily Inputs'!F16)</f>
        <v/>
      </c>
      <c r="I16" s="19">
        <f>IF('Daily Inputs'!H16="","",'Daily Inputs'!H16)</f>
        <v/>
      </c>
      <c r="J16" s="19">
        <f>IF(OR(E16="",H16="",I16=""),"",E16+H16-I16)</f>
        <v/>
      </c>
      <c r="K16" s="19">
        <f>IF('Daily Inputs'!I16="","",'Daily Inputs'!I16)</f>
        <v/>
      </c>
      <c r="L16" s="19">
        <f>IF('Daily Inputs'!J16="","",'Daily Inputs'!J16)</f>
        <v/>
      </c>
      <c r="M16" s="19">
        <f>IF('Daily Inputs'!K16="","",'Daily Inputs'!K16)</f>
        <v/>
      </c>
      <c r="N16" s="19">
        <f>IF(OR(J16="",K16="",L16="",M16=""),"",J16-K16-L16-M16)</f>
        <v/>
      </c>
      <c r="O16" s="8">
        <f>IF(COUNTA('Daily Inputs'!A16:O16)=0,"No entries",IF(COUNTA('Daily Inputs'!A16:O16)=15,"Complete","Partial — "&amp;COUNTA('Daily Inputs'!A16:O16)&amp;" of 15 fields"))</f>
        <v/>
      </c>
    </row>
    <row r="17" spans="1:15">
      <c r="A17" s="17">
        <f>IF('Daily Inputs'!A17="","",'Daily Inputs'!A17)</f>
        <v/>
      </c>
      <c r="B17" s="18">
        <f>IF('Daily Inputs'!B17="","",'Daily Inputs'!B17)</f>
        <v/>
      </c>
      <c r="C17" s="18">
        <f>IF('Daily Inputs'!C17="","",'Daily Inputs'!C17)</f>
        <v/>
      </c>
      <c r="D17" s="18">
        <f>IF('Daily Inputs'!D17="","",'Daily Inputs'!D17)</f>
        <v/>
      </c>
      <c r="E17" s="19">
        <f>IF('Daily Inputs'!E17="","",'Daily Inputs'!E17)</f>
        <v/>
      </c>
      <c r="F17" s="19">
        <f>IF(OR(E17="",D17="",D17&lt;=0),"",E17/D17)</f>
        <v/>
      </c>
      <c r="G17" s="20">
        <f>IF(OR(D17="",C17="",C17&lt;=0),"",D17/C17)</f>
        <v/>
      </c>
      <c r="H17" s="19">
        <f>IF('Daily Inputs'!F17="","",'Daily Inputs'!F17)</f>
        <v/>
      </c>
      <c r="I17" s="19">
        <f>IF('Daily Inputs'!H17="","",'Daily Inputs'!H17)</f>
        <v/>
      </c>
      <c r="J17" s="19">
        <f>IF(OR(E17="",H17="",I17=""),"",E17+H17-I17)</f>
        <v/>
      </c>
      <c r="K17" s="19">
        <f>IF('Daily Inputs'!I17="","",'Daily Inputs'!I17)</f>
        <v/>
      </c>
      <c r="L17" s="19">
        <f>IF('Daily Inputs'!J17="","",'Daily Inputs'!J17)</f>
        <v/>
      </c>
      <c r="M17" s="19">
        <f>IF('Daily Inputs'!K17="","",'Daily Inputs'!K17)</f>
        <v/>
      </c>
      <c r="N17" s="19">
        <f>IF(OR(J17="",K17="",L17="",M17=""),"",J17-K17-L17-M17)</f>
        <v/>
      </c>
      <c r="O17" s="8">
        <f>IF(COUNTA('Daily Inputs'!A17:O17)=0,"No entries",IF(COUNTA('Daily Inputs'!A17:O17)=15,"Complete","Partial — "&amp;COUNTA('Daily Inputs'!A17:O17)&amp;" of 15 fields"))</f>
        <v/>
      </c>
    </row>
    <row r="18" spans="1:15">
      <c r="A18" s="17">
        <f>IF('Daily Inputs'!A18="","",'Daily Inputs'!A18)</f>
        <v/>
      </c>
      <c r="B18" s="18">
        <f>IF('Daily Inputs'!B18="","",'Daily Inputs'!B18)</f>
        <v/>
      </c>
      <c r="C18" s="18">
        <f>IF('Daily Inputs'!C18="","",'Daily Inputs'!C18)</f>
        <v/>
      </c>
      <c r="D18" s="18">
        <f>IF('Daily Inputs'!D18="","",'Daily Inputs'!D18)</f>
        <v/>
      </c>
      <c r="E18" s="19">
        <f>IF('Daily Inputs'!E18="","",'Daily Inputs'!E18)</f>
        <v/>
      </c>
      <c r="F18" s="19">
        <f>IF(OR(E18="",D18="",D18&lt;=0),"",E18/D18)</f>
        <v/>
      </c>
      <c r="G18" s="20">
        <f>IF(OR(D18="",C18="",C18&lt;=0),"",D18/C18)</f>
        <v/>
      </c>
      <c r="H18" s="19">
        <f>IF('Daily Inputs'!F18="","",'Daily Inputs'!F18)</f>
        <v/>
      </c>
      <c r="I18" s="19">
        <f>IF('Daily Inputs'!H18="","",'Daily Inputs'!H18)</f>
        <v/>
      </c>
      <c r="J18" s="19">
        <f>IF(OR(E18="",H18="",I18=""),"",E18+H18-I18)</f>
        <v/>
      </c>
      <c r="K18" s="19">
        <f>IF('Daily Inputs'!I18="","",'Daily Inputs'!I18)</f>
        <v/>
      </c>
      <c r="L18" s="19">
        <f>IF('Daily Inputs'!J18="","",'Daily Inputs'!J18)</f>
        <v/>
      </c>
      <c r="M18" s="19">
        <f>IF('Daily Inputs'!K18="","",'Daily Inputs'!K18)</f>
        <v/>
      </c>
      <c r="N18" s="19">
        <f>IF(OR(J18="",K18="",L18="",M18=""),"",J18-K18-L18-M18)</f>
        <v/>
      </c>
      <c r="O18" s="8">
        <f>IF(COUNTA('Daily Inputs'!A18:O18)=0,"No entries",IF(COUNTA('Daily Inputs'!A18:O18)=15,"Complete","Partial — "&amp;COUNTA('Daily Inputs'!A18:O18)&amp;" of 15 fields"))</f>
        <v/>
      </c>
    </row>
    <row r="19" spans="1:15">
      <c r="A19" s="17">
        <f>IF('Daily Inputs'!A19="","",'Daily Inputs'!A19)</f>
        <v/>
      </c>
      <c r="B19" s="18">
        <f>IF('Daily Inputs'!B19="","",'Daily Inputs'!B19)</f>
        <v/>
      </c>
      <c r="C19" s="18">
        <f>IF('Daily Inputs'!C19="","",'Daily Inputs'!C19)</f>
        <v/>
      </c>
      <c r="D19" s="18">
        <f>IF('Daily Inputs'!D19="","",'Daily Inputs'!D19)</f>
        <v/>
      </c>
      <c r="E19" s="19">
        <f>IF('Daily Inputs'!E19="","",'Daily Inputs'!E19)</f>
        <v/>
      </c>
      <c r="F19" s="19">
        <f>IF(OR(E19="",D19="",D19&lt;=0),"",E19/D19)</f>
        <v/>
      </c>
      <c r="G19" s="20">
        <f>IF(OR(D19="",C19="",C19&lt;=0),"",D19/C19)</f>
        <v/>
      </c>
      <c r="H19" s="19">
        <f>IF('Daily Inputs'!F19="","",'Daily Inputs'!F19)</f>
        <v/>
      </c>
      <c r="I19" s="19">
        <f>IF('Daily Inputs'!H19="","",'Daily Inputs'!H19)</f>
        <v/>
      </c>
      <c r="J19" s="19">
        <f>IF(OR(E19="",H19="",I19=""),"",E19+H19-I19)</f>
        <v/>
      </c>
      <c r="K19" s="19">
        <f>IF('Daily Inputs'!I19="","",'Daily Inputs'!I19)</f>
        <v/>
      </c>
      <c r="L19" s="19">
        <f>IF('Daily Inputs'!J19="","",'Daily Inputs'!J19)</f>
        <v/>
      </c>
      <c r="M19" s="19">
        <f>IF('Daily Inputs'!K19="","",'Daily Inputs'!K19)</f>
        <v/>
      </c>
      <c r="N19" s="19">
        <f>IF(OR(J19="",K19="",L19="",M19=""),"",J19-K19-L19-M19)</f>
        <v/>
      </c>
      <c r="O19" s="8">
        <f>IF(COUNTA('Daily Inputs'!A19:O19)=0,"No entries",IF(COUNTA('Daily Inputs'!A19:O19)=15,"Complete","Partial — "&amp;COUNTA('Daily Inputs'!A19:O19)&amp;" of 15 fields"))</f>
        <v/>
      </c>
    </row>
    <row r="20" spans="1:15">
      <c r="A20" s="5" t="s">
        <v>57</v>
      </c>
      <c r="B20" s="6">
        <f>IF(COUNT(B6:B19)=0,"",SUM(B6:B19))</f>
        <v/>
      </c>
      <c r="C20" s="6">
        <f>IF(COUNT(C6:C19)=0,"",SUM(C6:C19))</f>
        <v/>
      </c>
      <c r="D20" s="6">
        <f>IF(COUNT(D6:D19)=0,"",SUM(D6:D19))</f>
        <v/>
      </c>
      <c r="E20" s="7">
        <f>IF(COUNT(E6:E19)=0,"",SUM(E6:E19))</f>
        <v/>
      </c>
      <c r="F20" s="7">
        <f>IF(AND(COUNT(D6:D19)=14,COUNT(E6:E19)=14,SUM(D6:D19)&gt;0),SUM(E6:E19)/SUM(D6:D19),"")</f>
        <v/>
      </c>
      <c r="G20" s="21">
        <f>IF(AND(COUNT(D6:D19)=14,COUNT(C6:C19)=14,SUM(C6:C19)&gt;0),SUM(D6:D19)/SUM(C6:C19),"")</f>
        <v/>
      </c>
      <c r="H20" s="7">
        <f>IF(COUNT(H6:H19)=0,"",SUM(H6:H19))</f>
        <v/>
      </c>
      <c r="I20" s="7">
        <f>IF(COUNT(I6:I19)=0,"",SUM(I6:I19))</f>
        <v/>
      </c>
      <c r="J20" s="7">
        <f>IF(COUNT(J6:J19)=0,"",SUM(J6:J19))</f>
        <v/>
      </c>
      <c r="K20" s="7">
        <f>IF(COUNT(K6:K19)=0,"",SUM(K6:K19))</f>
        <v/>
      </c>
      <c r="L20" s="7">
        <f>IF(COUNT(L6:L19)=0,"",SUM(L6:L19))</f>
        <v/>
      </c>
      <c r="M20" s="7">
        <f>IF(COUNT(M6:M19)=0,"",SUM(M6:M19))</f>
        <v/>
      </c>
      <c r="N20" s="7">
        <f>IF(COUNT(N6:N19)=0,"",SUM(N6:N19))</f>
        <v/>
      </c>
      <c r="O20" s="8" t="str">
        <f>"See completeness below"</f>
        <v>See completeness below</v>
      </c>
    </row>
    <row r="21" spans="1:15">
      <c r="A21" s="5" t="s">
        <v>56</v>
      </c>
      <c r="B21" s="8">
        <f>IF(COUNT(B6:B19)=0,"No entries",IF(COUNT(B6:B19)=14,"Complete — 14/14","Partial — "&amp;COUNT(B6:B19)&amp;"/14"))</f>
        <v/>
      </c>
      <c r="C21" s="8">
        <f>IF(COUNT(C6:C19)=0,"No entries",IF(COUNT(C6:C19)=14,"Complete — 14/14","Partial — "&amp;COUNT(C6:C19)&amp;"/14"))</f>
        <v/>
      </c>
      <c r="D21" s="8">
        <f>IF(COUNT(D6:D19)=0,"No entries",IF(COUNT(D6:D19)=14,"Complete — 14/14","Partial — "&amp;COUNT(D6:D19)&amp;"/14"))</f>
        <v/>
      </c>
      <c r="E21" s="8">
        <f>IF(COUNT(E6:E19)=0,"No entries",IF(COUNT(E6:E19)=14,"Complete — 14/14","Partial — "&amp;COUNT(E6:E19)&amp;"/14"))</f>
        <v/>
      </c>
      <c r="F21" s="8">
        <f>IF(COUNT(F6:F19)=0,"No entries",IF(COUNT(F6:F19)=14,"Complete — 14/14","Partial — "&amp;COUNT(F6:F19)&amp;"/14"))</f>
        <v/>
      </c>
      <c r="G21" s="8">
        <f>IF(COUNT(G6:G19)=0,"No entries",IF(COUNT(G6:G19)=14,"Complete — 14/14","Partial — "&amp;COUNT(G6:G19)&amp;"/14"))</f>
        <v/>
      </c>
      <c r="H21" s="8">
        <f>IF(COUNT(H6:H19)=0,"No entries",IF(COUNT(H6:H19)=14,"Complete — 14/14","Partial — "&amp;COUNT(H6:H19)&amp;"/14"))</f>
        <v/>
      </c>
      <c r="I21" s="8">
        <f>IF(COUNT(I6:I19)=0,"No entries",IF(COUNT(I6:I19)=14,"Complete — 14/14","Partial — "&amp;COUNT(I6:I19)&amp;"/14"))</f>
        <v/>
      </c>
      <c r="J21" s="8">
        <f>IF(COUNT(J6:J19)=0,"No entries",IF(COUNT(J6:J19)=14,"Complete — 14/14","Partial — "&amp;COUNT(J6:J19)&amp;"/14"))</f>
        <v/>
      </c>
      <c r="K21" s="8">
        <f>IF(COUNT(K6:K19)=0,"No entries",IF(COUNT(K6:K19)=14,"Complete — 14/14","Partial — "&amp;COUNT(K6:K19)&amp;"/14"))</f>
        <v/>
      </c>
      <c r="L21" s="8">
        <f>IF(COUNT(L6:L19)=0,"No entries",IF(COUNT(L6:L19)=14,"Complete — 14/14","Partial — "&amp;COUNT(L6:L19)&amp;"/14"))</f>
        <v/>
      </c>
      <c r="M21" s="8">
        <f>IF(COUNT(M6:M19)=0,"No entries",IF(COUNT(M6:M19)=14,"Complete — 14/14","Partial — "&amp;COUNT(M6:M19)&amp;"/14"))</f>
        <v/>
      </c>
      <c r="N21" s="8">
        <f>IF(COUNT(N6:N19)=0,"No entries",IF(COUNT(N6:N19)=14,"Complete — 14/14","Partial — "&amp;COUNT(N6:N19)&amp;"/14"))</f>
        <v/>
      </c>
      <c r="O21" s="8">
        <f>IF(COUNTIF(O6:O19,"Complete")=14,"Complete — 14/14",IF(COUNTIF(O6:O19,"Complete")=0,"No complete days","Partial — "&amp;COUNTIF(O6:O19,"Complete")&amp;"/14"))</f>
        <v/>
      </c>
    </row>
  </sheetData>
  <autoFilter ref="A5:O19"/>
  <mergeCells count="2">
    <mergeCell ref="A1:O1"/>
    <mergeCell ref="A2:O2"/>
  </mergeCells>
  <conditionalFormatting sqref="A21:O21">
    <cfRule type="containsText" dxfId="0" priority="1" operator="containsText" text="Complete">
      <formula>NOT(ISERROR(SEARCH("Complete",A21)))</formula>
    </cfRule>
    <cfRule type="containsText" dxfId="1" priority="2" operator="containsText" text="Partial">
      <formula>NOT(ISERROR(SEARCH("Partial",A21)))</formula>
    </cfRule>
  </conditionalFormatting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7" width="25.7109375" customWidth="1"/>
    <col min="8" max="8" width="30.7109375" customWidth="1"/>
  </cols>
  <sheetData>
    <row r="1" spans="1:8" ht="28" customHeight="1">
      <c r="A1" s="1" t="s">
        <v>58</v>
      </c>
      <c r="B1" s="1"/>
      <c r="C1" s="1"/>
      <c r="D1" s="1"/>
      <c r="E1" s="1"/>
      <c r="F1" s="1"/>
      <c r="G1" s="1"/>
      <c r="H1" s="1"/>
    </row>
    <row r="2" spans="1:8" ht="35" customHeight="1">
      <c r="A2" s="2" t="s">
        <v>59</v>
      </c>
      <c r="B2" s="2"/>
      <c r="C2" s="2"/>
      <c r="D2" s="2"/>
      <c r="E2" s="2"/>
      <c r="F2" s="2"/>
      <c r="G2" s="2"/>
      <c r="H2" s="2"/>
    </row>
    <row r="5" spans="1:8" ht="34" customHeight="1">
      <c r="A5" s="16" t="s">
        <v>24</v>
      </c>
      <c r="B5" s="16" t="s">
        <v>37</v>
      </c>
      <c r="C5" s="16" t="s">
        <v>30</v>
      </c>
      <c r="D5" s="16" t="s">
        <v>38</v>
      </c>
      <c r="E5" s="16" t="s">
        <v>35</v>
      </c>
      <c r="F5" s="16" t="s">
        <v>36</v>
      </c>
      <c r="G5" s="16" t="s">
        <v>12</v>
      </c>
      <c r="H5" s="16" t="s">
        <v>60</v>
      </c>
    </row>
    <row r="6" spans="1:8">
      <c r="A6" s="17">
        <f>IF('Daily Inputs'!A6="","",'Daily Inputs'!A6)</f>
        <v/>
      </c>
      <c r="B6" s="19">
        <f>IF('Daily Inputs'!N6="","",'Daily Inputs'!N6)</f>
        <v/>
      </c>
      <c r="C6" s="19">
        <f>IF('Daily Inputs'!G6="","",'Daily Inputs'!G6)</f>
        <v/>
      </c>
      <c r="D6" s="19">
        <f>IF('Daily Inputs'!O6="","",'Daily Inputs'!O6)</f>
        <v/>
      </c>
      <c r="E6" s="19">
        <f>IF('Daily Inputs'!L6="","",'Daily Inputs'!L6)</f>
        <v/>
      </c>
      <c r="F6" s="19">
        <f>IF('Daily Inputs'!M6="","",'Daily Inputs'!M6)</f>
        <v/>
      </c>
      <c r="G6" s="19">
        <f>IF(OR(B6="",C6="",D6="",E6="",F6=""),"",B6+C6-D6-E6-F6)</f>
        <v/>
      </c>
      <c r="H6" s="8">
        <f>IF(COUNTA('Daily Inputs'!A6:O6)=0,"No entries",IF(AND('Daily Inputs'!N6&lt;&gt;"",'Daily Inputs'!G6&lt;&gt;"",'Daily Inputs'!O6&lt;&gt;"",'Daily Inputs'!L6&lt;&gt;"",'Daily Inputs'!M6&lt;&gt;""),"Cash inputs complete","Cash inputs partial — payout/refund/expense fields required"))</f>
        <v/>
      </c>
    </row>
    <row r="7" spans="1:8">
      <c r="A7" s="17">
        <f>IF('Daily Inputs'!A7="","",'Daily Inputs'!A7)</f>
        <v/>
      </c>
      <c r="B7" s="19">
        <f>IF('Daily Inputs'!N7="","",'Daily Inputs'!N7)</f>
        <v/>
      </c>
      <c r="C7" s="19">
        <f>IF('Daily Inputs'!G7="","",'Daily Inputs'!G7)</f>
        <v/>
      </c>
      <c r="D7" s="19">
        <f>IF('Daily Inputs'!O7="","",'Daily Inputs'!O7)</f>
        <v/>
      </c>
      <c r="E7" s="19">
        <f>IF('Daily Inputs'!L7="","",'Daily Inputs'!L7)</f>
        <v/>
      </c>
      <c r="F7" s="19">
        <f>IF('Daily Inputs'!M7="","",'Daily Inputs'!M7)</f>
        <v/>
      </c>
      <c r="G7" s="19">
        <f>IF(OR(B7="",C7="",D7="",E7="",F7=""),"",B7+C7-D7-E7-F7)</f>
        <v/>
      </c>
      <c r="H7" s="8">
        <f>IF(COUNTA('Daily Inputs'!A7:O7)=0,"No entries",IF(AND('Daily Inputs'!N7&lt;&gt;"",'Daily Inputs'!G7&lt;&gt;"",'Daily Inputs'!O7&lt;&gt;"",'Daily Inputs'!L7&lt;&gt;"",'Daily Inputs'!M7&lt;&gt;""),"Cash inputs complete","Cash inputs partial — payout/refund/expense fields required"))</f>
        <v/>
      </c>
    </row>
    <row r="8" spans="1:8">
      <c r="A8" s="17">
        <f>IF('Daily Inputs'!A8="","",'Daily Inputs'!A8)</f>
        <v/>
      </c>
      <c r="B8" s="19">
        <f>IF('Daily Inputs'!N8="","",'Daily Inputs'!N8)</f>
        <v/>
      </c>
      <c r="C8" s="19">
        <f>IF('Daily Inputs'!G8="","",'Daily Inputs'!G8)</f>
        <v/>
      </c>
      <c r="D8" s="19">
        <f>IF('Daily Inputs'!O8="","",'Daily Inputs'!O8)</f>
        <v/>
      </c>
      <c r="E8" s="19">
        <f>IF('Daily Inputs'!L8="","",'Daily Inputs'!L8)</f>
        <v/>
      </c>
      <c r="F8" s="19">
        <f>IF('Daily Inputs'!M8="","",'Daily Inputs'!M8)</f>
        <v/>
      </c>
      <c r="G8" s="19">
        <f>IF(OR(B8="",C8="",D8="",E8="",F8=""),"",B8+C8-D8-E8-F8)</f>
        <v/>
      </c>
      <c r="H8" s="8">
        <f>IF(COUNTA('Daily Inputs'!A8:O8)=0,"No entries",IF(AND('Daily Inputs'!N8&lt;&gt;"",'Daily Inputs'!G8&lt;&gt;"",'Daily Inputs'!O8&lt;&gt;"",'Daily Inputs'!L8&lt;&gt;"",'Daily Inputs'!M8&lt;&gt;""),"Cash inputs complete","Cash inputs partial — payout/refund/expense fields required"))</f>
        <v/>
      </c>
    </row>
    <row r="9" spans="1:8">
      <c r="A9" s="17">
        <f>IF('Daily Inputs'!A9="","",'Daily Inputs'!A9)</f>
        <v/>
      </c>
      <c r="B9" s="19">
        <f>IF('Daily Inputs'!N9="","",'Daily Inputs'!N9)</f>
        <v/>
      </c>
      <c r="C9" s="19">
        <f>IF('Daily Inputs'!G9="","",'Daily Inputs'!G9)</f>
        <v/>
      </c>
      <c r="D9" s="19">
        <f>IF('Daily Inputs'!O9="","",'Daily Inputs'!O9)</f>
        <v/>
      </c>
      <c r="E9" s="19">
        <f>IF('Daily Inputs'!L9="","",'Daily Inputs'!L9)</f>
        <v/>
      </c>
      <c r="F9" s="19">
        <f>IF('Daily Inputs'!M9="","",'Daily Inputs'!M9)</f>
        <v/>
      </c>
      <c r="G9" s="19">
        <f>IF(OR(B9="",C9="",D9="",E9="",F9=""),"",B9+C9-D9-E9-F9)</f>
        <v/>
      </c>
      <c r="H9" s="8">
        <f>IF(COUNTA('Daily Inputs'!A9:O9)=0,"No entries",IF(AND('Daily Inputs'!N9&lt;&gt;"",'Daily Inputs'!G9&lt;&gt;"",'Daily Inputs'!O9&lt;&gt;"",'Daily Inputs'!L9&lt;&gt;"",'Daily Inputs'!M9&lt;&gt;""),"Cash inputs complete","Cash inputs partial — payout/refund/expense fields required"))</f>
        <v/>
      </c>
    </row>
    <row r="10" spans="1:8">
      <c r="A10" s="17">
        <f>IF('Daily Inputs'!A10="","",'Daily Inputs'!A10)</f>
        <v/>
      </c>
      <c r="B10" s="19">
        <f>IF('Daily Inputs'!N10="","",'Daily Inputs'!N10)</f>
        <v/>
      </c>
      <c r="C10" s="19">
        <f>IF('Daily Inputs'!G10="","",'Daily Inputs'!G10)</f>
        <v/>
      </c>
      <c r="D10" s="19">
        <f>IF('Daily Inputs'!O10="","",'Daily Inputs'!O10)</f>
        <v/>
      </c>
      <c r="E10" s="19">
        <f>IF('Daily Inputs'!L10="","",'Daily Inputs'!L10)</f>
        <v/>
      </c>
      <c r="F10" s="19">
        <f>IF('Daily Inputs'!M10="","",'Daily Inputs'!M10)</f>
        <v/>
      </c>
      <c r="G10" s="19">
        <f>IF(OR(B10="",C10="",D10="",E10="",F10=""),"",B10+C10-D10-E10-F10)</f>
        <v/>
      </c>
      <c r="H10" s="8">
        <f>IF(COUNTA('Daily Inputs'!A10:O10)=0,"No entries",IF(AND('Daily Inputs'!N10&lt;&gt;"",'Daily Inputs'!G10&lt;&gt;"",'Daily Inputs'!O10&lt;&gt;"",'Daily Inputs'!L10&lt;&gt;"",'Daily Inputs'!M10&lt;&gt;""),"Cash inputs complete","Cash inputs partial — payout/refund/expense fields required"))</f>
        <v/>
      </c>
    </row>
    <row r="11" spans="1:8">
      <c r="A11" s="17">
        <f>IF('Daily Inputs'!A11="","",'Daily Inputs'!A11)</f>
        <v/>
      </c>
      <c r="B11" s="19">
        <f>IF('Daily Inputs'!N11="","",'Daily Inputs'!N11)</f>
        <v/>
      </c>
      <c r="C11" s="19">
        <f>IF('Daily Inputs'!G11="","",'Daily Inputs'!G11)</f>
        <v/>
      </c>
      <c r="D11" s="19">
        <f>IF('Daily Inputs'!O11="","",'Daily Inputs'!O11)</f>
        <v/>
      </c>
      <c r="E11" s="19">
        <f>IF('Daily Inputs'!L11="","",'Daily Inputs'!L11)</f>
        <v/>
      </c>
      <c r="F11" s="19">
        <f>IF('Daily Inputs'!M11="","",'Daily Inputs'!M11)</f>
        <v/>
      </c>
      <c r="G11" s="19">
        <f>IF(OR(B11="",C11="",D11="",E11="",F11=""),"",B11+C11-D11-E11-F11)</f>
        <v/>
      </c>
      <c r="H11" s="8">
        <f>IF(COUNTA('Daily Inputs'!A11:O11)=0,"No entries",IF(AND('Daily Inputs'!N11&lt;&gt;"",'Daily Inputs'!G11&lt;&gt;"",'Daily Inputs'!O11&lt;&gt;"",'Daily Inputs'!L11&lt;&gt;"",'Daily Inputs'!M11&lt;&gt;""),"Cash inputs complete","Cash inputs partial — payout/refund/expense fields required"))</f>
        <v/>
      </c>
    </row>
    <row r="12" spans="1:8">
      <c r="A12" s="17">
        <f>IF('Daily Inputs'!A12="","",'Daily Inputs'!A12)</f>
        <v/>
      </c>
      <c r="B12" s="19">
        <f>IF('Daily Inputs'!N12="","",'Daily Inputs'!N12)</f>
        <v/>
      </c>
      <c r="C12" s="19">
        <f>IF('Daily Inputs'!G12="","",'Daily Inputs'!G12)</f>
        <v/>
      </c>
      <c r="D12" s="19">
        <f>IF('Daily Inputs'!O12="","",'Daily Inputs'!O12)</f>
        <v/>
      </c>
      <c r="E12" s="19">
        <f>IF('Daily Inputs'!L12="","",'Daily Inputs'!L12)</f>
        <v/>
      </c>
      <c r="F12" s="19">
        <f>IF('Daily Inputs'!M12="","",'Daily Inputs'!M12)</f>
        <v/>
      </c>
      <c r="G12" s="19">
        <f>IF(OR(B12="",C12="",D12="",E12="",F12=""),"",B12+C12-D12-E12-F12)</f>
        <v/>
      </c>
      <c r="H12" s="8">
        <f>IF(COUNTA('Daily Inputs'!A12:O12)=0,"No entries",IF(AND('Daily Inputs'!N12&lt;&gt;"",'Daily Inputs'!G12&lt;&gt;"",'Daily Inputs'!O12&lt;&gt;"",'Daily Inputs'!L12&lt;&gt;"",'Daily Inputs'!M12&lt;&gt;""),"Cash inputs complete","Cash inputs partial — payout/refund/expense fields required"))</f>
        <v/>
      </c>
    </row>
    <row r="13" spans="1:8">
      <c r="A13" s="17">
        <f>IF('Daily Inputs'!A13="","",'Daily Inputs'!A13)</f>
        <v/>
      </c>
      <c r="B13" s="19">
        <f>IF('Daily Inputs'!N13="","",'Daily Inputs'!N13)</f>
        <v/>
      </c>
      <c r="C13" s="19">
        <f>IF('Daily Inputs'!G13="","",'Daily Inputs'!G13)</f>
        <v/>
      </c>
      <c r="D13" s="19">
        <f>IF('Daily Inputs'!O13="","",'Daily Inputs'!O13)</f>
        <v/>
      </c>
      <c r="E13" s="19">
        <f>IF('Daily Inputs'!L13="","",'Daily Inputs'!L13)</f>
        <v/>
      </c>
      <c r="F13" s="19">
        <f>IF('Daily Inputs'!M13="","",'Daily Inputs'!M13)</f>
        <v/>
      </c>
      <c r="G13" s="19">
        <f>IF(OR(B13="",C13="",D13="",E13="",F13=""),"",B13+C13-D13-E13-F13)</f>
        <v/>
      </c>
      <c r="H13" s="8">
        <f>IF(COUNTA('Daily Inputs'!A13:O13)=0,"No entries",IF(AND('Daily Inputs'!N13&lt;&gt;"",'Daily Inputs'!G13&lt;&gt;"",'Daily Inputs'!O13&lt;&gt;"",'Daily Inputs'!L13&lt;&gt;"",'Daily Inputs'!M13&lt;&gt;""),"Cash inputs complete","Cash inputs partial — payout/refund/expense fields required"))</f>
        <v/>
      </c>
    </row>
    <row r="14" spans="1:8">
      <c r="A14" s="17">
        <f>IF('Daily Inputs'!A14="","",'Daily Inputs'!A14)</f>
        <v/>
      </c>
      <c r="B14" s="19">
        <f>IF('Daily Inputs'!N14="","",'Daily Inputs'!N14)</f>
        <v/>
      </c>
      <c r="C14" s="19">
        <f>IF('Daily Inputs'!G14="","",'Daily Inputs'!G14)</f>
        <v/>
      </c>
      <c r="D14" s="19">
        <f>IF('Daily Inputs'!O14="","",'Daily Inputs'!O14)</f>
        <v/>
      </c>
      <c r="E14" s="19">
        <f>IF('Daily Inputs'!L14="","",'Daily Inputs'!L14)</f>
        <v/>
      </c>
      <c r="F14" s="19">
        <f>IF('Daily Inputs'!M14="","",'Daily Inputs'!M14)</f>
        <v/>
      </c>
      <c r="G14" s="19">
        <f>IF(OR(B14="",C14="",D14="",E14="",F14=""),"",B14+C14-D14-E14-F14)</f>
        <v/>
      </c>
      <c r="H14" s="8">
        <f>IF(COUNTA('Daily Inputs'!A14:O14)=0,"No entries",IF(AND('Daily Inputs'!N14&lt;&gt;"",'Daily Inputs'!G14&lt;&gt;"",'Daily Inputs'!O14&lt;&gt;"",'Daily Inputs'!L14&lt;&gt;"",'Daily Inputs'!M14&lt;&gt;""),"Cash inputs complete","Cash inputs partial — payout/refund/expense fields required"))</f>
        <v/>
      </c>
    </row>
    <row r="15" spans="1:8">
      <c r="A15" s="17">
        <f>IF('Daily Inputs'!A15="","",'Daily Inputs'!A15)</f>
        <v/>
      </c>
      <c r="B15" s="19">
        <f>IF('Daily Inputs'!N15="","",'Daily Inputs'!N15)</f>
        <v/>
      </c>
      <c r="C15" s="19">
        <f>IF('Daily Inputs'!G15="","",'Daily Inputs'!G15)</f>
        <v/>
      </c>
      <c r="D15" s="19">
        <f>IF('Daily Inputs'!O15="","",'Daily Inputs'!O15)</f>
        <v/>
      </c>
      <c r="E15" s="19">
        <f>IF('Daily Inputs'!L15="","",'Daily Inputs'!L15)</f>
        <v/>
      </c>
      <c r="F15" s="19">
        <f>IF('Daily Inputs'!M15="","",'Daily Inputs'!M15)</f>
        <v/>
      </c>
      <c r="G15" s="19">
        <f>IF(OR(B15="",C15="",D15="",E15="",F15=""),"",B15+C15-D15-E15-F15)</f>
        <v/>
      </c>
      <c r="H15" s="8">
        <f>IF(COUNTA('Daily Inputs'!A15:O15)=0,"No entries",IF(AND('Daily Inputs'!N15&lt;&gt;"",'Daily Inputs'!G15&lt;&gt;"",'Daily Inputs'!O15&lt;&gt;"",'Daily Inputs'!L15&lt;&gt;"",'Daily Inputs'!M15&lt;&gt;""),"Cash inputs complete","Cash inputs partial — payout/refund/expense fields required"))</f>
        <v/>
      </c>
    </row>
    <row r="16" spans="1:8">
      <c r="A16" s="17">
        <f>IF('Daily Inputs'!A16="","",'Daily Inputs'!A16)</f>
        <v/>
      </c>
      <c r="B16" s="19">
        <f>IF('Daily Inputs'!N16="","",'Daily Inputs'!N16)</f>
        <v/>
      </c>
      <c r="C16" s="19">
        <f>IF('Daily Inputs'!G16="","",'Daily Inputs'!G16)</f>
        <v/>
      </c>
      <c r="D16" s="19">
        <f>IF('Daily Inputs'!O16="","",'Daily Inputs'!O16)</f>
        <v/>
      </c>
      <c r="E16" s="19">
        <f>IF('Daily Inputs'!L16="","",'Daily Inputs'!L16)</f>
        <v/>
      </c>
      <c r="F16" s="19">
        <f>IF('Daily Inputs'!M16="","",'Daily Inputs'!M16)</f>
        <v/>
      </c>
      <c r="G16" s="19">
        <f>IF(OR(B16="",C16="",D16="",E16="",F16=""),"",B16+C16-D16-E16-F16)</f>
        <v/>
      </c>
      <c r="H16" s="8">
        <f>IF(COUNTA('Daily Inputs'!A16:O16)=0,"No entries",IF(AND('Daily Inputs'!N16&lt;&gt;"",'Daily Inputs'!G16&lt;&gt;"",'Daily Inputs'!O16&lt;&gt;"",'Daily Inputs'!L16&lt;&gt;"",'Daily Inputs'!M16&lt;&gt;""),"Cash inputs complete","Cash inputs partial — payout/refund/expense fields required"))</f>
        <v/>
      </c>
    </row>
    <row r="17" spans="1:8">
      <c r="A17" s="17">
        <f>IF('Daily Inputs'!A17="","",'Daily Inputs'!A17)</f>
        <v/>
      </c>
      <c r="B17" s="19">
        <f>IF('Daily Inputs'!N17="","",'Daily Inputs'!N17)</f>
        <v/>
      </c>
      <c r="C17" s="19">
        <f>IF('Daily Inputs'!G17="","",'Daily Inputs'!G17)</f>
        <v/>
      </c>
      <c r="D17" s="19">
        <f>IF('Daily Inputs'!O17="","",'Daily Inputs'!O17)</f>
        <v/>
      </c>
      <c r="E17" s="19">
        <f>IF('Daily Inputs'!L17="","",'Daily Inputs'!L17)</f>
        <v/>
      </c>
      <c r="F17" s="19">
        <f>IF('Daily Inputs'!M17="","",'Daily Inputs'!M17)</f>
        <v/>
      </c>
      <c r="G17" s="19">
        <f>IF(OR(B17="",C17="",D17="",E17="",F17=""),"",B17+C17-D17-E17-F17)</f>
        <v/>
      </c>
      <c r="H17" s="8">
        <f>IF(COUNTA('Daily Inputs'!A17:O17)=0,"No entries",IF(AND('Daily Inputs'!N17&lt;&gt;"",'Daily Inputs'!G17&lt;&gt;"",'Daily Inputs'!O17&lt;&gt;"",'Daily Inputs'!L17&lt;&gt;"",'Daily Inputs'!M17&lt;&gt;""),"Cash inputs complete","Cash inputs partial — payout/refund/expense fields required"))</f>
        <v/>
      </c>
    </row>
    <row r="18" spans="1:8">
      <c r="A18" s="17">
        <f>IF('Daily Inputs'!A18="","",'Daily Inputs'!A18)</f>
        <v/>
      </c>
      <c r="B18" s="19">
        <f>IF('Daily Inputs'!N18="","",'Daily Inputs'!N18)</f>
        <v/>
      </c>
      <c r="C18" s="19">
        <f>IF('Daily Inputs'!G18="","",'Daily Inputs'!G18)</f>
        <v/>
      </c>
      <c r="D18" s="19">
        <f>IF('Daily Inputs'!O18="","",'Daily Inputs'!O18)</f>
        <v/>
      </c>
      <c r="E18" s="19">
        <f>IF('Daily Inputs'!L18="","",'Daily Inputs'!L18)</f>
        <v/>
      </c>
      <c r="F18" s="19">
        <f>IF('Daily Inputs'!M18="","",'Daily Inputs'!M18)</f>
        <v/>
      </c>
      <c r="G18" s="19">
        <f>IF(OR(B18="",C18="",D18="",E18="",F18=""),"",B18+C18-D18-E18-F18)</f>
        <v/>
      </c>
      <c r="H18" s="8">
        <f>IF(COUNTA('Daily Inputs'!A18:O18)=0,"No entries",IF(AND('Daily Inputs'!N18&lt;&gt;"",'Daily Inputs'!G18&lt;&gt;"",'Daily Inputs'!O18&lt;&gt;"",'Daily Inputs'!L18&lt;&gt;"",'Daily Inputs'!M18&lt;&gt;""),"Cash inputs complete","Cash inputs partial — payout/refund/expense fields required"))</f>
        <v/>
      </c>
    </row>
    <row r="19" spans="1:8">
      <c r="A19" s="17">
        <f>IF('Daily Inputs'!A19="","",'Daily Inputs'!A19)</f>
        <v/>
      </c>
      <c r="B19" s="19">
        <f>IF('Daily Inputs'!N19="","",'Daily Inputs'!N19)</f>
        <v/>
      </c>
      <c r="C19" s="19">
        <f>IF('Daily Inputs'!G19="","",'Daily Inputs'!G19)</f>
        <v/>
      </c>
      <c r="D19" s="19">
        <f>IF('Daily Inputs'!O19="","",'Daily Inputs'!O19)</f>
        <v/>
      </c>
      <c r="E19" s="19">
        <f>IF('Daily Inputs'!L19="","",'Daily Inputs'!L19)</f>
        <v/>
      </c>
      <c r="F19" s="19">
        <f>IF('Daily Inputs'!M19="","",'Daily Inputs'!M19)</f>
        <v/>
      </c>
      <c r="G19" s="19">
        <f>IF(OR(B19="",C19="",D19="",E19="",F19=""),"",B19+C19-D19-E19-F19)</f>
        <v/>
      </c>
      <c r="H19" s="8">
        <f>IF(COUNTA('Daily Inputs'!A19:O19)=0,"No entries",IF(AND('Daily Inputs'!N19&lt;&gt;"",'Daily Inputs'!G19&lt;&gt;"",'Daily Inputs'!O19&lt;&gt;"",'Daily Inputs'!L19&lt;&gt;"",'Daily Inputs'!M19&lt;&gt;""),"Cash inputs complete","Cash inputs partial — payout/refund/expense fields required"))</f>
        <v/>
      </c>
    </row>
    <row r="20" spans="1:8">
      <c r="A20" s="5" t="s">
        <v>61</v>
      </c>
      <c r="B20" s="7">
        <f>IF(COUNT(B6:B19)=0,"",SUM(B6:B19))</f>
        <v/>
      </c>
      <c r="C20" s="7">
        <f>IF(COUNT(C6:C19)=0,"",SUM(C6:C19))</f>
        <v/>
      </c>
      <c r="D20" s="7">
        <f>IF(COUNT(D6:D19)=0,"",SUM(D6:D19))</f>
        <v/>
      </c>
      <c r="E20" s="7">
        <f>IF(COUNT(E6:E19)=0,"",SUM(E6:E19))</f>
        <v/>
      </c>
      <c r="F20" s="7">
        <f>IF(COUNT(F6:F19)=0,"",SUM(F6:F19))</f>
        <v/>
      </c>
      <c r="G20" s="7">
        <f>IF(COUNT(G6:G19)=0,"",SUM(G6:G19))</f>
        <v/>
      </c>
    </row>
    <row r="21" spans="1:8">
      <c r="A21" s="5" t="s">
        <v>56</v>
      </c>
      <c r="B21" s="8">
        <f>IF(COUNT(B6:B19)=0,"No entries",IF(COUNT(B6:B19)=14,"Complete — 14/14","Partial — "&amp;COUNT(B6:B19)&amp;"/14"))</f>
        <v/>
      </c>
      <c r="C21" s="8">
        <f>IF(COUNT(C6:C19)=0,"No entries",IF(COUNT(C6:C19)=14,"Complete — 14/14","Partial — "&amp;COUNT(C6:C19)&amp;"/14"))</f>
        <v/>
      </c>
      <c r="D21" s="8">
        <f>IF(COUNT(D6:D19)=0,"No entries",IF(COUNT(D6:D19)=14,"Complete — 14/14","Partial — "&amp;COUNT(D6:D19)&amp;"/14"))</f>
        <v/>
      </c>
      <c r="E21" s="8">
        <f>IF(COUNT(E6:E19)=0,"No entries",IF(COUNT(E6:E19)=14,"Complete — 14/14","Partial — "&amp;COUNT(E6:E19)&amp;"/14"))</f>
        <v/>
      </c>
      <c r="F21" s="8">
        <f>IF(COUNT(F6:F19)=0,"No entries",IF(COUNT(F6:F19)=14,"Complete — 14/14","Partial — "&amp;COUNT(F6:F19)&amp;"/14"))</f>
        <v/>
      </c>
      <c r="G21" s="8">
        <f>IF(COUNT(G6:G19)=0,"No entries",IF(COUNT(G6:G19)=14,"Complete — 14/14","Partial — "&amp;COUNT(G6:G19)&amp;"/14"))</f>
        <v/>
      </c>
    </row>
  </sheetData>
  <autoFilter ref="A5:H19"/>
  <mergeCells count="2">
    <mergeCell ref="A1:H1"/>
    <mergeCell ref="A2:H2"/>
  </mergeCells>
  <conditionalFormatting sqref="A21:H21">
    <cfRule type="containsText" dxfId="0" priority="1" operator="containsText" text="Complete">
      <formula>NOT(ISERROR(SEARCH("Complete",A21)))</formula>
    </cfRule>
    <cfRule type="containsText" dxfId="1" priority="2" operator="containsText" text="Partial">
      <formula>NOT(ISERROR(SEARCH("Partial",A21)))</formula>
    </cfRule>
  </conditionalFormatting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8.7109375" customWidth="1"/>
    <col min="2" max="2" width="20.7109375" customWidth="1"/>
    <col min="3" max="3" width="18.7109375" customWidth="1"/>
    <col min="4" max="5" width="32.7109375" customWidth="1"/>
  </cols>
  <sheetData>
    <row r="1" spans="1:5" ht="28" customHeight="1">
      <c r="A1" s="1" t="s">
        <v>62</v>
      </c>
      <c r="B1" s="1"/>
      <c r="C1" s="1"/>
      <c r="D1" s="1"/>
      <c r="E1" s="1"/>
    </row>
    <row r="2" spans="1:5" ht="35" customHeight="1">
      <c r="A2" s="2" t="s">
        <v>63</v>
      </c>
      <c r="B2" s="2"/>
      <c r="C2" s="2"/>
      <c r="D2" s="2"/>
      <c r="E2" s="2"/>
    </row>
    <row r="4" spans="1:5">
      <c r="A4" s="16" t="s">
        <v>64</v>
      </c>
      <c r="B4" s="16" t="s">
        <v>65</v>
      </c>
      <c r="C4" s="16" t="s">
        <v>66</v>
      </c>
      <c r="D4" s="16" t="s">
        <v>67</v>
      </c>
    </row>
    <row r="5" spans="1:5">
      <c r="A5" s="4" t="s">
        <v>68</v>
      </c>
      <c r="B5" s="15">
        <v>100</v>
      </c>
      <c r="C5" s="11" t="s">
        <v>69</v>
      </c>
      <c r="D5" s="9" t="s">
        <v>70</v>
      </c>
    </row>
    <row r="6" spans="1:5">
      <c r="A6" s="4" t="s">
        <v>71</v>
      </c>
      <c r="B6" s="15">
        <v>17.99</v>
      </c>
      <c r="C6" s="11" t="s">
        <v>69</v>
      </c>
      <c r="D6" s="9" t="s">
        <v>72</v>
      </c>
    </row>
    <row r="7" spans="1:5">
      <c r="A7" s="4" t="s">
        <v>73</v>
      </c>
      <c r="B7" s="22">
        <f>CEILING(B5/B6,1)</f>
        <v>6</v>
      </c>
      <c r="C7" s="12" t="s">
        <v>74</v>
      </c>
      <c r="D7" s="9" t="s">
        <v>75</v>
      </c>
    </row>
    <row r="8" spans="1:5">
      <c r="A8" s="4" t="s">
        <v>76</v>
      </c>
      <c r="B8" s="23">
        <f>B7*B6</f>
        <v>107.94</v>
      </c>
      <c r="C8" s="12" t="s">
        <v>74</v>
      </c>
      <c r="D8" s="9" t="s">
        <v>77</v>
      </c>
    </row>
    <row r="10" spans="1:5">
      <c r="A10" s="4" t="s">
        <v>78</v>
      </c>
      <c r="B10" s="24"/>
      <c r="C10" s="11" t="s">
        <v>79</v>
      </c>
      <c r="D10" s="9" t="s">
        <v>80</v>
      </c>
    </row>
    <row r="11" spans="1:5">
      <c r="A11" s="4" t="s">
        <v>81</v>
      </c>
      <c r="B11" s="25">
        <f>IF(OR(B10="",B10&lt;=0),"",B7/B10)</f>
        <v/>
      </c>
      <c r="C11" s="12" t="s">
        <v>74</v>
      </c>
      <c r="D11" s="9" t="s">
        <v>82</v>
      </c>
    </row>
    <row r="13" spans="1:5">
      <c r="A13" s="3" t="s">
        <v>83</v>
      </c>
    </row>
    <row r="14" spans="1:5">
      <c r="A14" s="10" t="s">
        <v>84</v>
      </c>
      <c r="B14" s="10"/>
      <c r="C14" s="10"/>
      <c r="D14" s="10"/>
      <c r="E14" s="10"/>
    </row>
    <row r="15" spans="1:5" ht="25" customHeight="1">
      <c r="A15" s="10"/>
      <c r="B15" s="10"/>
      <c r="C15" s="10"/>
      <c r="D15" s="10"/>
      <c r="E15" s="10"/>
    </row>
    <row r="16" spans="1:5" ht="25" customHeight="1"/>
  </sheetData>
  <mergeCells count="3">
    <mergeCell ref="A1:E1"/>
    <mergeCell ref="A2:E2"/>
    <mergeCell ref="A14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3.7109375" customWidth="1"/>
    <col min="2" max="2" width="28.7109375" customWidth="1"/>
    <col min="3" max="3" width="38.7109375" customWidth="1"/>
    <col min="4" max="4" width="27.7109375" customWidth="1"/>
    <col min="5" max="6" width="28.7109375" customWidth="1"/>
  </cols>
  <sheetData>
    <row r="1" spans="1:6" ht="28" customHeight="1">
      <c r="A1" s="1" t="s">
        <v>85</v>
      </c>
      <c r="B1" s="1"/>
      <c r="C1" s="1"/>
      <c r="D1" s="1"/>
      <c r="E1" s="1"/>
      <c r="F1" s="1"/>
    </row>
    <row r="2" spans="1:6" ht="35" customHeight="1">
      <c r="A2" s="2" t="s">
        <v>86</v>
      </c>
      <c r="B2" s="2"/>
      <c r="C2" s="2"/>
      <c r="D2" s="2"/>
      <c r="E2" s="2"/>
      <c r="F2" s="2"/>
    </row>
    <row r="5" spans="1:6" ht="34" customHeight="1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</row>
    <row r="6" spans="1:6">
      <c r="A6" s="4" t="s">
        <v>93</v>
      </c>
      <c r="B6" s="4" t="s">
        <v>94</v>
      </c>
      <c r="C6" s="4" t="s">
        <v>95</v>
      </c>
      <c r="D6" s="26"/>
      <c r="E6" s="26"/>
      <c r="F6" s="26"/>
    </row>
    <row r="7" spans="1:6">
      <c r="A7" s="4" t="s">
        <v>96</v>
      </c>
      <c r="B7" s="4" t="s">
        <v>97</v>
      </c>
      <c r="C7" s="4" t="s">
        <v>98</v>
      </c>
      <c r="D7" s="26"/>
      <c r="E7" s="26"/>
      <c r="F7" s="26"/>
    </row>
    <row r="8" spans="1:6">
      <c r="A8" s="4" t="s">
        <v>99</v>
      </c>
      <c r="B8" s="4" t="s">
        <v>100</v>
      </c>
      <c r="C8" s="4" t="s">
        <v>101</v>
      </c>
      <c r="D8" s="26"/>
      <c r="E8" s="26"/>
      <c r="F8" s="26"/>
    </row>
    <row r="9" spans="1:6">
      <c r="A9" s="4" t="s">
        <v>102</v>
      </c>
      <c r="B9" s="4" t="s">
        <v>103</v>
      </c>
      <c r="C9" s="4" t="s">
        <v>104</v>
      </c>
      <c r="D9" s="26"/>
      <c r="E9" s="26"/>
      <c r="F9" s="26"/>
    </row>
    <row r="10" spans="1:6">
      <c r="A10" s="4" t="s">
        <v>105</v>
      </c>
      <c r="B10" s="4" t="s">
        <v>106</v>
      </c>
      <c r="C10" s="4" t="s">
        <v>107</v>
      </c>
      <c r="D10" s="26"/>
      <c r="E10" s="26"/>
      <c r="F10" s="26"/>
    </row>
    <row r="11" spans="1:6">
      <c r="A11" s="4" t="s">
        <v>108</v>
      </c>
      <c r="B11" s="4" t="s">
        <v>109</v>
      </c>
      <c r="C11" s="4" t="s">
        <v>110</v>
      </c>
      <c r="D11" s="26"/>
      <c r="E11" s="26"/>
      <c r="F11" s="26"/>
    </row>
    <row r="12" spans="1:6">
      <c r="A12" s="4" t="s">
        <v>111</v>
      </c>
      <c r="B12" s="4" t="s">
        <v>106</v>
      </c>
      <c r="C12" s="4" t="s">
        <v>112</v>
      </c>
      <c r="D12" s="26"/>
      <c r="E12" s="26"/>
      <c r="F12" s="26"/>
    </row>
    <row r="14" spans="1:6">
      <c r="A14" s="3" t="s">
        <v>113</v>
      </c>
    </row>
    <row r="15" spans="1:6" ht="25" customHeight="1">
      <c r="A15" s="10" t="s">
        <v>114</v>
      </c>
      <c r="B15" s="10"/>
      <c r="C15" s="10"/>
      <c r="D15" s="10"/>
      <c r="E15" s="10"/>
      <c r="F15" s="10"/>
    </row>
    <row r="16" spans="1:6" ht="25" customHeight="1">
      <c r="A16" s="10"/>
      <c r="B16" s="10"/>
      <c r="C16" s="10"/>
      <c r="D16" s="10"/>
      <c r="E16" s="10"/>
      <c r="F16" s="10"/>
    </row>
  </sheetData>
  <mergeCells count="3">
    <mergeCell ref="A1:F1"/>
    <mergeCell ref="A2:F2"/>
    <mergeCell ref="A15:F1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2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5.7109375" customWidth="1"/>
    <col min="2" max="2" width="85.7109375" customWidth="1"/>
  </cols>
  <sheetData>
    <row r="1" spans="1:3" ht="28" customHeight="1">
      <c r="A1" s="1" t="s">
        <v>115</v>
      </c>
      <c r="B1" s="1"/>
      <c r="C1" s="1"/>
    </row>
    <row r="2" spans="1:3" ht="35" customHeight="1">
      <c r="A2" s="2" t="s">
        <v>116</v>
      </c>
      <c r="B2" s="2"/>
      <c r="C2" s="2"/>
    </row>
    <row r="4" spans="1:3">
      <c r="A4" s="16" t="s">
        <v>117</v>
      </c>
      <c r="B4" s="16" t="s">
        <v>118</v>
      </c>
    </row>
    <row r="5" spans="1:3" ht="34" customHeight="1">
      <c r="A5" s="4" t="s">
        <v>40</v>
      </c>
      <c r="B5" s="4" t="s">
        <v>119</v>
      </c>
    </row>
    <row r="6" spans="1:3" ht="34" customHeight="1">
      <c r="A6" s="4" t="s">
        <v>42</v>
      </c>
      <c r="B6" s="4" t="s">
        <v>120</v>
      </c>
    </row>
    <row r="7" spans="1:3" ht="34" customHeight="1">
      <c r="A7" s="4" t="s">
        <v>29</v>
      </c>
      <c r="B7" s="4" t="s">
        <v>121</v>
      </c>
    </row>
    <row r="8" spans="1:3" ht="34" customHeight="1">
      <c r="A8" s="4" t="s">
        <v>30</v>
      </c>
      <c r="B8" s="4" t="s">
        <v>122</v>
      </c>
    </row>
    <row r="9" spans="1:3" ht="34" customHeight="1">
      <c r="A9" s="4" t="s">
        <v>31</v>
      </c>
      <c r="B9" s="4" t="s">
        <v>123</v>
      </c>
    </row>
    <row r="10" spans="1:3" ht="34" customHeight="1">
      <c r="A10" s="4" t="s">
        <v>32</v>
      </c>
      <c r="B10" s="4" t="s">
        <v>124</v>
      </c>
    </row>
    <row r="11" spans="1:3" ht="34" customHeight="1">
      <c r="A11" s="4" t="s">
        <v>11</v>
      </c>
      <c r="B11" s="4" t="s">
        <v>125</v>
      </c>
    </row>
    <row r="12" spans="1:3" ht="34" customHeight="1">
      <c r="A12" s="4" t="s">
        <v>37</v>
      </c>
      <c r="B12" s="4" t="s">
        <v>126</v>
      </c>
    </row>
    <row r="13" spans="1:3" ht="34" customHeight="1">
      <c r="A13" s="4" t="s">
        <v>46</v>
      </c>
      <c r="B13" s="4" t="s">
        <v>127</v>
      </c>
    </row>
    <row r="14" spans="1:3" ht="34" customHeight="1">
      <c r="A14" s="4" t="s">
        <v>38</v>
      </c>
      <c r="B14" s="4" t="s">
        <v>128</v>
      </c>
    </row>
    <row r="15" spans="1:3" ht="34" customHeight="1">
      <c r="A15" s="4" t="s">
        <v>12</v>
      </c>
      <c r="B15" s="4" t="s">
        <v>129</v>
      </c>
    </row>
    <row r="16" spans="1:3" ht="34" customHeight="1">
      <c r="A16" s="4" t="s">
        <v>53</v>
      </c>
      <c r="B16" s="4" t="s">
        <v>130</v>
      </c>
    </row>
    <row r="17" spans="1:2" ht="34" customHeight="1">
      <c r="A17" s="4" t="s">
        <v>54</v>
      </c>
      <c r="B17" s="4" t="s">
        <v>131</v>
      </c>
    </row>
    <row r="18" spans="1:2" ht="34" customHeight="1">
      <c r="A18" s="4" t="s">
        <v>56</v>
      </c>
      <c r="B18" s="4" t="s">
        <v>132</v>
      </c>
    </row>
    <row r="19" spans="1:2" ht="34" customHeight="1">
      <c r="A19" s="4" t="s">
        <v>133</v>
      </c>
      <c r="B19" s="4" t="s">
        <v>134</v>
      </c>
    </row>
    <row r="20" spans="1:2" ht="34" customHeight="1">
      <c r="A20" s="4" t="s">
        <v>135</v>
      </c>
      <c r="B20" s="4" t="s">
        <v>136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Start Here</vt:lpstr>
      <vt:lpstr>Daily Inputs</vt:lpstr>
      <vt:lpstr>Activity Ledger</vt:lpstr>
      <vt:lpstr>Cash Ledger</vt:lpstr>
      <vt:lpstr>Scenario</vt:lpstr>
      <vt:lpstr>Weekly Review</vt:lpstr>
      <vt:lpstr>Glossary</vt:lpstr>
      <vt:lpstr>'Daily Inputs'!Print_Titles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Sentinel campaign cash-flow worksheet</dc:title>
  <dc:subject>14-day activity and cash ledger</dc:subject>
  <dc:creator>Sentinel campaign</dc:creator>
  <dc:description>Actual inputs intentionally blank; scenario values are illustrative only.</dc:description>
  <cp:lastModifiedBy>Sentinel campaign</cp:lastModifiedBy>
  <dcterms:created xsi:type="dcterms:W3CDTF">2026-09-16T23:36:54Z</dcterms:created>
  <dcterms:modified xsi:type="dcterms:W3CDTF">2026-09-16T23:36:54Z</dcterms:modified>
</cp:coreProperties>
</file>